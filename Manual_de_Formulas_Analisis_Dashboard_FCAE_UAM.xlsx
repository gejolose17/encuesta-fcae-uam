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BD56F076-7D45-461C-9BAE-9F3C929E34DD}" xr6:coauthVersionLast="47" xr6:coauthVersionMax="47" xr10:uidLastSave="{00000000-0000-0000-0000-000000000000}"/>
  <bookViews>
    <workbookView xWindow="-28920" yWindow="1530" windowWidth="29040" windowHeight="15720" xr2:uid="{00000000-000D-0000-FFFF-FFFF00000000}"/>
  </bookViews>
  <sheets>
    <sheet name="1. Marco Metodológico" sheetId="1" r:id="rId1"/>
    <sheet name="2. Catálogo de Fórmulas" sheetId="2" r:id="rId2"/>
    <sheet name="3. Banco de Ítems (45)" sheetId="3" r:id="rId3"/>
    <sheet name="4. Simulador con Datos Vivos" sheetId="4" r:id="rId4"/>
    <sheet name="5. Baremos e Interpretación"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5" i="4" l="1"/>
  <c r="C35" i="4"/>
  <c r="E34" i="4"/>
  <c r="C34" i="4"/>
  <c r="E33" i="4"/>
  <c r="D33" i="4"/>
  <c r="L27" i="4"/>
  <c r="N24" i="4"/>
  <c r="M24" i="4"/>
  <c r="L24" i="4"/>
  <c r="I24" i="4"/>
  <c r="H24" i="4"/>
  <c r="G24" i="4"/>
  <c r="F24" i="4"/>
  <c r="E24" i="4"/>
  <c r="D24" i="4"/>
  <c r="C24" i="4"/>
  <c r="N23" i="4"/>
  <c r="M23" i="4"/>
  <c r="L23" i="4"/>
  <c r="I23" i="4"/>
  <c r="H23" i="4"/>
  <c r="G23" i="4"/>
  <c r="F23" i="4"/>
  <c r="E23" i="4"/>
  <c r="D23" i="4"/>
  <c r="C23" i="4"/>
  <c r="N22" i="4"/>
  <c r="M22" i="4"/>
  <c r="L22" i="4"/>
  <c r="I22" i="4"/>
  <c r="H22" i="4"/>
  <c r="G22" i="4"/>
  <c r="F22" i="4"/>
  <c r="E22" i="4"/>
  <c r="D22" i="4"/>
  <c r="C22" i="4"/>
  <c r="N21" i="4"/>
  <c r="M21" i="4"/>
  <c r="L21" i="4"/>
  <c r="K21" i="4"/>
  <c r="J21" i="4"/>
  <c r="I21" i="4"/>
  <c r="H21" i="4"/>
  <c r="G21" i="4"/>
  <c r="F21" i="4"/>
  <c r="E21" i="4"/>
  <c r="D21" i="4"/>
  <c r="C21" i="4"/>
  <c r="H27" i="4" s="1"/>
  <c r="N20" i="4"/>
  <c r="M20" i="4"/>
  <c r="L20" i="4"/>
  <c r="K20" i="4"/>
  <c r="J20" i="4"/>
  <c r="I20" i="4"/>
  <c r="H20" i="4"/>
  <c r="G20" i="4"/>
  <c r="F20" i="4"/>
  <c r="E20" i="4"/>
  <c r="D20" i="4"/>
  <c r="C20" i="4"/>
  <c r="N19" i="4"/>
  <c r="M19" i="4"/>
  <c r="L19" i="4"/>
  <c r="I19" i="4"/>
  <c r="H19" i="4"/>
  <c r="G19" i="4"/>
  <c r="F19" i="4"/>
  <c r="E19" i="4"/>
  <c r="D19" i="4"/>
  <c r="C19" i="4"/>
  <c r="N18" i="4"/>
  <c r="M18" i="4"/>
  <c r="L18" i="4"/>
  <c r="I18" i="4"/>
  <c r="H18" i="4"/>
  <c r="G18" i="4"/>
  <c r="F18" i="4"/>
  <c r="E18" i="4"/>
  <c r="D18" i="4"/>
  <c r="C18" i="4"/>
  <c r="K16" i="4"/>
  <c r="J16" i="4"/>
  <c r="K15" i="4"/>
  <c r="J15" i="4"/>
  <c r="K14" i="4"/>
  <c r="J14" i="4"/>
  <c r="K13" i="4"/>
  <c r="J13" i="4"/>
  <c r="K12" i="4"/>
  <c r="J12" i="4"/>
  <c r="K11" i="4"/>
  <c r="J11" i="4"/>
  <c r="K10" i="4"/>
  <c r="J10" i="4"/>
  <c r="K9" i="4"/>
  <c r="J9" i="4"/>
  <c r="K8" i="4"/>
  <c r="J8" i="4"/>
  <c r="K7" i="4"/>
  <c r="J7" i="4"/>
  <c r="K6" i="4"/>
  <c r="J6" i="4"/>
  <c r="J19" i="4" s="1"/>
  <c r="K5" i="4"/>
  <c r="K24" i="4" s="1"/>
  <c r="J5" i="4"/>
  <c r="B35" i="4" s="1"/>
  <c r="E28" i="4" l="1"/>
  <c r="G28" i="4" s="1"/>
  <c r="C32" i="4"/>
  <c r="D32" i="4"/>
  <c r="E32" i="4"/>
  <c r="J18" i="4"/>
  <c r="J22" i="4"/>
  <c r="J23" i="4"/>
  <c r="J24" i="4"/>
  <c r="B33" i="4"/>
  <c r="K18" i="4"/>
  <c r="K19" i="4"/>
  <c r="K22" i="4"/>
  <c r="K23" i="4"/>
  <c r="B34" i="4"/>
</calcChain>
</file>

<file path=xl/sharedStrings.xml><?xml version="1.0" encoding="utf-8"?>
<sst xmlns="http://schemas.openxmlformats.org/spreadsheetml/2006/main" count="569" uniqueCount="423">
  <si>
    <t>MODELO DE INVESTIGACIÓN FORMATIVA FCAE-UAM</t>
  </si>
  <si>
    <t>DICCIONARIO METODOLÓGICO, PSICOMÉTRICO Y MANUAL DE FÓRMULAS DEL TABLERO ANALÍTICO</t>
  </si>
  <si>
    <t>Tesis Doctoral en Educación (2026) · Facultad de Ciencias Administrativas y Económicas (FCAE) — Universidad Americana (UAM)</t>
  </si>
  <si>
    <t>1. PROPÓSITO DEL DOCUMENTO Y DE LAS FÓRMULAS ANALÍTICAS</t>
  </si>
  <si>
    <t>Este documento técnico consolida, formaliza y documenta exhaustivamente todos los modelos matemáticos, algoritmos estadísticos, fórmulas psicométricas e indicadores descriptivos y relacionales que operan dentro del Tablero de Resultados (Dashboard) de la Encuesta Docente de Investigación Formativa. Su finalidad es respaldar el rigor metodológico del capítulo de análisis de datos de la Tesis Doctoral y permitir su replicación exacta en Microsoft Excel, SPSS, R, Python o JASP.</t>
  </si>
  <si>
    <t>2. ESTRUCTURA Y DIMENSIONES DEL INSTRUMENTO DE EVALUACIÓN</t>
  </si>
  <si>
    <t>El instrumento diagnóstico consta de 4 dimensiones estructuradas y un módulo sociodemográfico/trayectoria:
• Perfil del Docente (P): Género, edad, grado académico, experiencia docente y profesional, y trayectoria en proyectos/publicaciones.
• Competencias Docentes (Sección Q3): 7 ítems orientados al dominio metodológico, técnico e investigativo personal del profesorado.
• Práctica Docente en el Aula (Matriz A): 12 ítems evaluados por cada asignatura que imparte el docente, midiendo la frecuencia de integración investigativa.
• Estrategias Metodológicas e Instrumentos (Matriz B): 16 ítems evaluados por asignatura, valorando el grado de dominio y aplicación didáctica.
• Entorno Institucional y Condiciones Facilitadoras (Sección Q6): 10 ítems que diagnostican recursos, plataformas, carga horaria y clima organizacional.</t>
  </si>
  <si>
    <t>3. ESCALAS DE MEDICIÓN LIKERT UTILIZADAS (1 A 7 PUNTOS)</t>
  </si>
  <si>
    <t>El instrumento utiliza escalas Likert simétricas de 7 niveles, garantizando sensibilidad métrica y tratamiento continuo:
• Escala de Acuerdo (Q3 y Q6): 1: Totalmente en desacuerdo | 2: En desacuerdo | 3: Ligeramente en desacuerdo | 4: Ni de acuerdo ni en desacuerdo (Neutral) | 5: Ligeramente de acuerdo | 6: De acuerdo | 7: Totalmente de acuerdo.
• Escala de Frecuencia (Matriz A): 1: Nunca | 2: Casi nunca | 3: Ocasionalmente | 4: A veces | 5: Frecuentemente | 6: Casi siempre | 7: Siempre.
• Escala de Dominio (Matriz B): 1: Nulo | 2: Muy bajo | 3: Bajo | 4: Medio | 5: Moderadamente alto | 6: Alto | 7: Experto.</t>
  </si>
  <si>
    <t>GUÍA DE CONTENIDO DEL LIBRO DE EXCEL</t>
  </si>
  <si>
    <t>Pestaña</t>
  </si>
  <si>
    <t>Nombre en el Libro</t>
  </si>
  <si>
    <t>Contenido y Utilidad Analítica</t>
  </si>
  <si>
    <t>Hoja 1</t>
  </si>
  <si>
    <t>1. Marco Metodológico</t>
  </si>
  <si>
    <t>Introducción, estructura dimensional del instrumento y escalas psicométricas.</t>
  </si>
  <si>
    <t>Hoja 2</t>
  </si>
  <si>
    <t>2. Catálogo de Fórmulas</t>
  </si>
  <si>
    <t>Tabla maestra con 15 fórmulas detalladas: definición, notación matemática, sintaxis Excel, código JS e interpretación.</t>
  </si>
  <si>
    <t>Hoja 3</t>
  </si>
  <si>
    <t>3. Banco de Ítems (45)</t>
  </si>
  <si>
    <t>Catálogo completo de los 45 ítems del instrumento (Q3, Matriz A, Matriz B, Q6) con sus dimensiones y variables asociadas.</t>
  </si>
  <si>
    <t>Hoja 4</t>
  </si>
  <si>
    <t>4. Simulador con Datos Vivos</t>
  </si>
  <si>
    <t>Dataset de prueba interactivo con fórmulas de Excel vivas para cálculo de Media, Mediana, Desv. Estándar, % Favorable, Alfa de Cronbach y Pearson.</t>
  </si>
  <si>
    <t>Hoja 5</t>
  </si>
  <si>
    <t>5. Baremos e Interpretación</t>
  </si>
  <si>
    <t>Tablas normativas de puntos de corte para baremación de promedios, confiabilidad de Cronbach y correlación de Pearson.</t>
  </si>
  <si>
    <t>CATÁLOGO MAESTRO DE FÓRMULAS ESTADÍSTICAS Y PSICOMÉTRICAS DEL DASHBOARD</t>
  </si>
  <si>
    <t>Sintaxis comparativa: Notación Teórica · Fórmulas nativas de Excel · Funciones JavaScript implementadas en js/dashboard.js</t>
  </si>
  <si>
    <t>Código</t>
  </si>
  <si>
    <t>Métrica / Indicador</t>
  </si>
  <si>
    <t>Módulo Dashboard</t>
  </si>
  <si>
    <t>Definición Conceptual y Psicométrica</t>
  </si>
  <si>
    <t>Fórmula Matemática Teórica</t>
  </si>
  <si>
    <t>Fórmula en Excel (ES / EN)</t>
  </si>
  <si>
    <t>Algoritmo JS en js/dashboard.js</t>
  </si>
  <si>
    <t>Rango e Interpretación</t>
  </si>
  <si>
    <t>FOR-01</t>
  </si>
  <si>
    <t>Media Aritmética (Promedio)</t>
  </si>
  <si>
    <t>General / Ítems / Grupos</t>
  </si>
  <si>
    <t>Medida de tendencia central que calcula el centro de gravedad de las valoraciones asignadas por los docentes a un ítem, dimensión o sección.</t>
  </si>
  <si>
    <t>M = x̄ = (1/n) · ∑(xi) = (∑ xi) / n</t>
  </si>
  <si>
    <t>=PROMEDIO(rango)
=AVERAGE(range)</t>
  </si>
  <si>
    <t>function media(a) {
  const v = a.filter(esNum);
  return v.length ? v.reduce((x, y) =&gt; x + y, 0) / v.length : null;
}</t>
  </si>
  <si>
    <t>1.00 a 7.00
&lt;3.5: Bajo | 3.5–5.4: Medio | ≥5.5: Alto</t>
  </si>
  <si>
    <t>FOR-02</t>
  </si>
  <si>
    <t>Mediana</t>
  </si>
  <si>
    <t>KPIs de Sección y Foco</t>
  </si>
  <si>
    <t>Punto medio de la distribución ordenada de respuestas; valor donde el 50% de las observaciones es menor o igual y el 50% es mayor o igual. No es afectada por valores extremos.</t>
  </si>
  <si>
    <t>Si n es impar: Me = x_((n+1)/2)
Si n es par: Me = (x_(n/2) + x_(n/2+1)) / 2</t>
  </si>
  <si>
    <t>=MEDIANA(rango)
=MEDIAN(range)</t>
  </si>
  <si>
    <t>function mediana(a) {
  const v = a.filter(esNum).sort((x, y) =&gt; x - y);
  if (!v.length) return null;
  const m = Math.floor(v.length / 2);
  return v.length % 2 ? v[m] : (v[m - 1] + v[m]) / 2;
}</t>
  </si>
  <si>
    <t>1.0 a 7.0
Indica la categoría de respuesta típica de la escala Likert.</t>
  </si>
  <si>
    <t>FOR-03</t>
  </si>
  <si>
    <t>Varianza Muestral</t>
  </si>
  <si>
    <t>Cálculo de Confiabilidad</t>
  </si>
  <si>
    <t>Medida del grado de dispersión cuadrática promedio de los datos individuales respecto a la media de la muestra.</t>
  </si>
  <si>
    <t>s² = ∑(xi - x̄)² / (n - 1)</t>
  </si>
  <si>
    <t>=VAR.S(rango)
=VAR.S(range)</t>
  </si>
  <si>
    <t>function varianza(a) {
  const v = a.filter(esNum);
  if (v.length &lt; 2) return null;
  const m = media(v);
  return v.reduce((s, x) =&gt; s + (x - m)**2, 0) / (v.length - 1);
}</t>
  </si>
  <si>
    <t>≥ 0
0 = consenso absoluto; valores altos = heterogeneidad de opiniones.</t>
  </si>
  <si>
    <t>FOR-04</t>
  </si>
  <si>
    <t>Desviación Estándar Muestral</t>
  </si>
  <si>
    <t>Raíz cuadrada positiva de la varianza muestral. Expresa la dispersión de las respuestas en las mismas unidades de la escala Likert (1 a 7).</t>
  </si>
  <si>
    <t>s = DE = √[ ∑(xi - x̄)² / (n - 1) ]</t>
  </si>
  <si>
    <t>=DESVEST.M(rango)
=STDEV.S(range)</t>
  </si>
  <si>
    <t>function desv(a) {
  const vr = varianza(a);
  return vr === null ? null : Math.sqrt(vr);
}</t>
  </si>
  <si>
    <t>0.00 a 3.00 aprox.
&lt;1.0: Alto consenso | &gt;1.5: Fuerte dispersión/polarización.</t>
  </si>
  <si>
    <t>FOR-05</t>
  </si>
  <si>
    <t>Porcentaje Frecuencial</t>
  </si>
  <si>
    <t>Distribución y Gráficos</t>
  </si>
  <si>
    <t>Proporción relativa porcentual de docentes que seleccionaron una categoría particular respecto al total de respuestas válidas.</t>
  </si>
  <si>
    <t>P_k = (n_k / N_total) · 100%</t>
  </si>
  <si>
    <t>=CONTAR.SI(rango, valor) / CONTAR(rango)
Formato: Porcentaje (%)</t>
  </si>
  <si>
    <t>function pct(n, t) {
  return t ? (n * 100) / t : 0;
}</t>
  </si>
  <si>
    <t>0.0% a 100.0%
La suma de las 7 categorías es 100%.</t>
  </si>
  <si>
    <t>FOR-06</t>
  </si>
  <si>
    <t>Tasa Favorable (% Favorable)</t>
  </si>
  <si>
    <t>KPIs y Gráficos Divergentes</t>
  </si>
  <si>
    <t>Porcentaje agregado de docentes cuyas respuestas se ubican en la zona positiva o favorable (niveles 5, 6 y 7 de la escala Likert).</t>
  </si>
  <si>
    <t>%Fav = [ (n_5 + n_6 + n_7) / N ] · 100%</t>
  </si>
  <si>
    <t>=CONTAR.SI(rango, "&gt;=5") / CONTAR(rango)
Formato: Porcentaje (%)</t>
  </si>
  <si>
    <t>const favDe = vals =&gt; {
  const v = vals.filter(esNum);
  return pct(v.filter(x =&gt; x &gt;= 5).length, v.length);
};</t>
  </si>
  <si>
    <t>0% a 100%
≥70%: Fortaleza institucional consolidada.
&lt;50%: Oportunidad de fortalecimiento.</t>
  </si>
  <si>
    <t>FOR-07</t>
  </si>
  <si>
    <t>Tasa Desfavorable (% Desfavorable)</t>
  </si>
  <si>
    <t>Gráficos Divergentes y KPIs</t>
  </si>
  <si>
    <t>Porcentaje agregado de docentes cuyas respuestas se ubican en la zona desfavorable, baja frecuencia o bajo dominio (niveles 1, 2 y 3).</t>
  </si>
  <si>
    <t>%Desf = [ (n_1 + n_2 + n_3) / N ] · 100%</t>
  </si>
  <si>
    <t>=CONTAR.SI(rango, "&lt;=3") / CONTAR(rango)
Formato: Porcentaje (%)</t>
  </si>
  <si>
    <t>desf = pct(dist[0] + dist[1] + dist[2], n)</t>
  </si>
  <si>
    <t>0% a 100%
&gt;30%: Alerta crítica o brecha formativa prioritaria.</t>
  </si>
  <si>
    <t>FOR-08</t>
  </si>
  <si>
    <t>Tasa Neutral (% Neutro)</t>
  </si>
  <si>
    <t>Gráficos Divergentes</t>
  </si>
  <si>
    <t>Porcentaje de docentes que se situaron en el punto medio de la escala (nivel 4: "Ni de acuerdo ni en desacuerdo", "A veces", "Medio").</t>
  </si>
  <si>
    <t>%Neutro = (n_4 / N) · 100%</t>
  </si>
  <si>
    <t>=CONTAR.SI(rango, 4) / CONTAR(rango)
Formato: Porcentaje (%)</t>
  </si>
  <si>
    <t>neutro = pct(dist[3], n)</t>
  </si>
  <si>
    <t>0% a 100%
Indica indecisión o práctica intermitente.</t>
  </si>
  <si>
    <t>FOR-09</t>
  </si>
  <si>
    <t>Coeficiente Alfa de Cronbach</t>
  </si>
  <si>
    <t>Confiabilidad Psicométrica</t>
  </si>
  <si>
    <t>Evalúa la consistencia interna y fiabilidad del banco de ítems de cada sección. Mide si los ítems de la dimensión apuntan coherentemente al mismo constructo.</t>
  </si>
  <si>
    <t>α = [ k / (k - 1) ] · [ 1 - (∑ s_j²) / s_T² ]
donde k = número de ítems, s_j² = varianza del ítem j, s_T² = varianza de la suma de puntajes.</t>
  </si>
  <si>
    <t>=(k/(k-1))*(1 - SUMA(rango_varianzas_items) / VAR.S(rango_puntajes_totales))</t>
  </si>
  <si>
    <t>function cronbach(filas) {
  const k = filas[0].length;
  let sumaVar = 0;
  for (let j = 0; j &lt; k; j++) sumaVar += varianza(filas.map(f =&gt; f[j])) || 0;
  const vt = varianza(filas.map(f =&gt; f.reduce((a, b) =&gt; a + b, 0)));
  return (k / (k - 1)) * (1 - sumaVar / vt);
}</t>
  </si>
  <si>
    <t>0.00 a 1.00
≥0.90: Excelente | 0.80–0.89: Bueno
0.70–0.79: Aceptable | &lt;0.60: Bajo</t>
  </si>
  <si>
    <t>FOR-10</t>
  </si>
  <si>
    <t>Coeficiente de Correlación de Pearson</t>
  </si>
  <si>
    <t>Matriz y Esquema del Modelo</t>
  </si>
  <si>
    <t>Cuantifica la fuerza y dirección de la relación lineal entre dos variables continuas (ej. competencias Q3 vs. prácticas A, o edad vs. publicación).</t>
  </si>
  <si>
    <t>r = ∑((xi - x̄)(yi - ȳ)) / √[ ∑(xi - x̄)² · ∑(yi - ȳ)² ] = Cov(X,Y) / (s_X · s_Y)</t>
  </si>
  <si>
    <t>=COEF.DE.CORREL(matriz1, matriz2)
=CORREL(array1, array2)</t>
  </si>
  <si>
    <t>function pearson(xs, ys) {
  const mx = media(xs), my = media(ys);
  let sxy = 0, sxx = 0, syy = 0;
  p.forEach(([x, y]) =&gt; { sxy += (x - mx)*(y - my); sxx += (x - mx)**2; syy += (y - my)**2; });
  return sxy / Math.sqrt(sxx * syy);
}</t>
  </si>
  <si>
    <t>-1.00 a +1.00
|r| &lt; 0.10: Trivial
0.10 a 0.29: Débil
0.30 a 0.49: Moderada
≥0.50: Fuerte</t>
  </si>
  <si>
    <t>FOR-11</t>
  </si>
  <si>
    <t>Normalización de Escala Likert a 0-100%</t>
  </si>
  <si>
    <t>Barras de Progreso en KPIs</t>
  </si>
  <si>
    <t>Transformación lineal del puntaje promedio continuo Likert (1 a 7) a una escala porcentual normalizada (0% a 100%) para representación visual proporcional.</t>
  </si>
  <si>
    <t>Barra(%) = [ (M - 1) / (7 - 1) ] · 100% = [ (M - 1) / 6 ] · 100%</t>
  </si>
  <si>
    <t>=(celda_media - 1) / 6
Formato: Porcentaje (%)</t>
  </si>
  <si>
    <t>const barraMedia = m =&gt; esNum(m) ? ((m - 1) / 6) * 100 : null;</t>
  </si>
  <si>
    <t>0.0% a 100.0%
1.00 = 0.0% | 4.00 = 50.0% | 7.00 = 100.0%</t>
  </si>
  <si>
    <t>FOR-12</t>
  </si>
  <si>
    <t>Clasificación de Nivel Likert</t>
  </si>
  <si>
    <t>Baremos Cualitativos</t>
  </si>
  <si>
    <t>Regla de decisión para categorizar el logro promedio de una dimensión o ítem en tres estratos diagnósticos interpretables.</t>
  </si>
  <si>
    <t>Nivel = 
• "Bajo (&lt;3.5)" si M &lt; 3.5
• "Medio (3.5–5.4)" si 3.5 ≤ M &lt; 5.5
• "Alto (≥5.5)" si M ≥ 5.5</t>
  </si>
  <si>
    <t>=SI(celda&lt;3.5, "Bajo (&lt;3.5)", SI(celda&lt;5.5, "Medio (3.5–5.4)", "Alto (≥5.5)"))</t>
  </si>
  <si>
    <t>function nivel(m) {
  if (!esNum(m)) return "Sin dato";
  if (m &lt; 3.5) return "Bajo (&lt;3.5)";
  if (m &lt; 5.5) return "Medio (3.5–5.4)";
  return "Alto (≥5.5)";
}</t>
  </si>
  <si>
    <t>Bajo / Medio / Alto
Guía la priorización en el plan de intervención curricular.</t>
  </si>
  <si>
    <t>FOR-13</t>
  </si>
  <si>
    <t>Índice Global de Investigación Formativa (IF)</t>
  </si>
  <si>
    <t>Nodo Central del Modelo</t>
  </si>
  <si>
    <t>Puntaje sintético ponderado que integra las 12 prácticas pedagógicas de la Matriz A y las 16 estrategias metodológicas de la Matriz B para cada asignatura.</t>
  </si>
  <si>
    <t>M_IF = ( ∑ x_A + ∑ x_B ) / ( 12 + 16 ) = ( 12·M_A + 16·M_B ) / 28</t>
  </si>
  <si>
    <t>=(12 * PROMEDIO(rango_A) + 16 * PROMEDIO(rango_B)) / 28</t>
  </si>
  <si>
    <t>vals.IF = vals.A.concat(vals.B);
const mIF = media(vals.IF);</t>
  </si>
  <si>
    <t>1.00 a 7.00
Representa el índice integrador de investigación formativa en el aula.</t>
  </si>
  <si>
    <t>FOR-14</t>
  </si>
  <si>
    <t>Grosor Visual de Flechas en el Esquema</t>
  </si>
  <si>
    <t>Esquema Teórico SVG</t>
  </si>
  <si>
    <t>Mapeo proporcional del valor absoluto de la correlación de Pearson (|r|) al grosor del trazo de las flechas causales/relacionales en el esquema SVG.</t>
  </si>
  <si>
    <t>Width = 1.6 + 4 · |r|</t>
  </si>
  <si>
    <t>=1.6 + 4 * ABS(celda_pearson)</t>
  </si>
  <si>
    <t>const w = esNum(r) ? 1.6 + Math.abs(r) * 4 : 1.6;</t>
  </si>
  <si>
    <t>1.60 px (si r=0) a 5.60 px (si |r|=1.00).
El grosor es directamente proporcional a la fuerza de la correlación.</t>
  </si>
  <si>
    <t>FOR-15</t>
  </si>
  <si>
    <t>Tasa de Interés en Talleres Colaborativos</t>
  </si>
  <si>
    <t>Talleres Colaborativos</t>
  </si>
  <si>
    <t>Porcentaje de docentes que voluntariamente aceptaron integrarse a los talleres de diseño colaborativo y validación del modelo.</t>
  </si>
  <si>
    <t>%Participación = ( N_inscritos_talleres / N_total_docentes ) · 100%</t>
  </si>
  <si>
    <t>=CONTAR(rango_contactos) / CONTAR(rango_docentes_totales)
Formato: Porcentaje (%)</t>
  </si>
  <si>
    <t>pct(state.talleres.length, state.docentes.length)</t>
  </si>
  <si>
    <t>0.0% a 100.0%
Mide la disposición y compromiso del profesorado para co-crear el modelo.</t>
  </si>
  <si>
    <t>BANCO COMPLETO DE ÍTEMS DEL INSTRUMENTO DIAGNÓSTICO FCAE-UAM</t>
  </si>
  <si>
    <t>45 ítems organizados en 4 dimensiones psicométricas evaluadas en escala Likert de 1 a 7 puntos</t>
  </si>
  <si>
    <t>Dimensión</t>
  </si>
  <si>
    <t>Ítem #</t>
  </si>
  <si>
    <t>Enunciado Completo del Ítem</t>
  </si>
  <si>
    <t>Escala Likert (1–7)</t>
  </si>
  <si>
    <t>Variable Analítica</t>
  </si>
  <si>
    <t>Fórmulas Clave</t>
  </si>
  <si>
    <t>Q3.1</t>
  </si>
  <si>
    <t>Competencias Docentes (Q3)</t>
  </si>
  <si>
    <t>Identifico problemas de investigación y propongo planes de investigación en mi área de conocimiento.</t>
  </si>
  <si>
    <t>Acuerdo (1 a 7)</t>
  </si>
  <si>
    <t>doc.q3[0] (Nivel Docente)</t>
  </si>
  <si>
    <t>Media, Mediana, DE, %Fav, Cronbach</t>
  </si>
  <si>
    <t>Q3.2</t>
  </si>
  <si>
    <t>Considero que tengo dominio claro de los enfoques y diseños de investigación en correspondencia con mi área de conocimiento.</t>
  </si>
  <si>
    <t>doc.q3[1] (Nivel Docente)</t>
  </si>
  <si>
    <t>Q3.3</t>
  </si>
  <si>
    <t>Tengo habilidades para diseñar, validar y aplicar instrumentos de recolección de datos (encuestas, entrevistas, grupos focales, etc.).</t>
  </si>
  <si>
    <t>doc.q3[2] (Nivel Docente)</t>
  </si>
  <si>
    <t>Q3.4</t>
  </si>
  <si>
    <t>Utilizo softwares y técnicas para el análisis e interpretación de datos de investigación (cuantitativo y cualitativo).</t>
  </si>
  <si>
    <t>doc.q3[3] (Nivel Docente)</t>
  </si>
  <si>
    <t>Q3.5</t>
  </si>
  <si>
    <t>Me mantengo actualizado con los avances de la teoría y literatura científica en mi área de conocimiento.</t>
  </si>
  <si>
    <t>doc.q3[4] (Nivel Docente)</t>
  </si>
  <si>
    <t>Q3.6</t>
  </si>
  <si>
    <t>Tengo habilidades para la búsqueda de información, revisión y discriminación de literatura en diferentes medios (bases de datos, repositorios, revistas, bibliotecas, libros, etc.).</t>
  </si>
  <si>
    <t>doc.q3[5] (Nivel Docente)</t>
  </si>
  <si>
    <t>Q3.7</t>
  </si>
  <si>
    <t>Utilizo algún software de gestión de referencias (Mendeley, Zotero, etc.).</t>
  </si>
  <si>
    <t>doc.q3[6] (Nivel Docente)</t>
  </si>
  <si>
    <t>A.1</t>
  </si>
  <si>
    <t>Práctica Docente (Matriz A)</t>
  </si>
  <si>
    <t>En mi clase procuro inspirar o motivar a mis estudiantes hacia la investigación a través de las estrategias que utilizo y mi práctica de investigación.</t>
  </si>
  <si>
    <t>Frecuencia (1 a 7)</t>
  </si>
  <si>
    <t>mat.A[0] (Nivel Docente)</t>
  </si>
  <si>
    <t>A.2</t>
  </si>
  <si>
    <t>Genero espacios en la asignatura para la reflexión y el debate.</t>
  </si>
  <si>
    <t>mat.A[1] (Nivel Docente)</t>
  </si>
  <si>
    <t>A.3</t>
  </si>
  <si>
    <t>Aplico estrategias activas (ABP, ABPro, Estudio de Casos, Aula Invertida, entre otros) en las clases que imparto.</t>
  </si>
  <si>
    <t>mat.A[2] (Nivel Docente)</t>
  </si>
  <si>
    <t>A.4</t>
  </si>
  <si>
    <t>Fomento la lectura crítica de textos científicos (artículos, tesis, libros, etc.) en temas vinculados con las asignaturas.</t>
  </si>
  <si>
    <t>mat.A[3] (Nivel Docente)</t>
  </si>
  <si>
    <t>A.5</t>
  </si>
  <si>
    <t>Desarrollo actividades que requieren habilidades para identificar problemas o situaciones que requieran investigación.</t>
  </si>
  <si>
    <t>mat.A[4] (Nivel Docente)</t>
  </si>
  <si>
    <t>A.6</t>
  </si>
  <si>
    <t>Oriento a mis estudiantes sobre cómo buscar información en diversas fuentes para la fundamentación de los trabajos.</t>
  </si>
  <si>
    <t>mat.A[5] (Nivel Docente)</t>
  </si>
  <si>
    <t>A.7</t>
  </si>
  <si>
    <t>Fomento el uso de TIC para gestión de referencias bibliográficas (Mendeley, Zotero, etc.).</t>
  </si>
  <si>
    <t>mat.A[6] (Nivel Docente)</t>
  </si>
  <si>
    <t>A.8</t>
  </si>
  <si>
    <t>Exijo el uso de normas APA o normas técnicas para la presentación de informes y tareas.</t>
  </si>
  <si>
    <t>mat.A[7] (Nivel Docente)</t>
  </si>
  <si>
    <t>A.9</t>
  </si>
  <si>
    <t>Incluyo actividades para diseñar y aplicar instrumentos de recolección de datos en el contexto de la asignatura.</t>
  </si>
  <si>
    <t>mat.A[8] (Nivel Docente)</t>
  </si>
  <si>
    <t>A.10</t>
  </si>
  <si>
    <t>Fomento el uso de softwares y técnicas para el análisis e interpretación de datos de investigación.</t>
  </si>
  <si>
    <t>mat.A[9] (Nivel Docente)</t>
  </si>
  <si>
    <t>A.11</t>
  </si>
  <si>
    <t>Establezco asignaciones que requieren documentos académicos (informes, artículos, reportes) con rigor científico.</t>
  </si>
  <si>
    <t>mat.A[10] (Nivel Docente)</t>
  </si>
  <si>
    <t>A.12</t>
  </si>
  <si>
    <t>Proporciono acompañamiento para guiar procesos investigativos al estudiantado.</t>
  </si>
  <si>
    <t>mat.A[11] (Nivel Docente)</t>
  </si>
  <si>
    <t>B.1</t>
  </si>
  <si>
    <t>Estrategias Didácticas (Matriz B)</t>
  </si>
  <si>
    <t>Búsqueda y sistematización de información científica.</t>
  </si>
  <si>
    <t>Dominio (1 a 7)</t>
  </si>
  <si>
    <t>mat.B[0] (Nivel Docente)</t>
  </si>
  <si>
    <t>B.2</t>
  </si>
  <si>
    <t>Reseña académica.</t>
  </si>
  <si>
    <t>mat.B[1] (Nivel Docente)</t>
  </si>
  <si>
    <t>B.3</t>
  </si>
  <si>
    <t>Ensayo teórico.</t>
  </si>
  <si>
    <t>mat.B[2] (Nivel Docente)</t>
  </si>
  <si>
    <t>B.4</t>
  </si>
  <si>
    <t>Aula invertida.</t>
  </si>
  <si>
    <t>mat.B[3] (Nivel Docente)</t>
  </si>
  <si>
    <t>B.5</t>
  </si>
  <si>
    <t>Aprendizaje Basado en Problemas.</t>
  </si>
  <si>
    <t>mat.B[4] (Nivel Docente)</t>
  </si>
  <si>
    <t>B.6</t>
  </si>
  <si>
    <t>Estudio de casos.</t>
  </si>
  <si>
    <t>mat.B[5] (Nivel Docente)</t>
  </si>
  <si>
    <t>B.7</t>
  </si>
  <si>
    <t>Aprendizaje Basado en Proyectos.</t>
  </si>
  <si>
    <t>mat.B[6] (Nivel Docente)</t>
  </si>
  <si>
    <t>B.8</t>
  </si>
  <si>
    <t>Preseminario investigativo.</t>
  </si>
  <si>
    <t>mat.B[7] (Nivel Docente)</t>
  </si>
  <si>
    <t>B.9</t>
  </si>
  <si>
    <t>Ensayo teórico con esquema investigativo.</t>
  </si>
  <si>
    <t>mat.B[8] (Nivel Docente)</t>
  </si>
  <si>
    <t>B.10</t>
  </si>
  <si>
    <t>Semilleros o grupos de investigación.</t>
  </si>
  <si>
    <t>mat.B[9] (Nivel Docente)</t>
  </si>
  <si>
    <t>B.11</t>
  </si>
  <si>
    <t>Prácticas de campo.</t>
  </si>
  <si>
    <t>mat.B[10] (Nivel Docente)</t>
  </si>
  <si>
    <t>B.12</t>
  </si>
  <si>
    <t>Elaboración de informes.</t>
  </si>
  <si>
    <t>mat.B[11] (Nivel Docente)</t>
  </si>
  <si>
    <t>B.13</t>
  </si>
  <si>
    <t>Elaboración de estado de arte.</t>
  </si>
  <si>
    <t>mat.B[12] (Nivel Docente)</t>
  </si>
  <si>
    <t>B.14</t>
  </si>
  <si>
    <t>Trabajo de grado.</t>
  </si>
  <si>
    <t>mat.B[13] (Nivel Docente)</t>
  </si>
  <si>
    <t>B.15</t>
  </si>
  <si>
    <t>Trabajo cooperativo entre alumnado y profesorado.</t>
  </si>
  <si>
    <t>mat.B[14] (Nivel Docente)</t>
  </si>
  <si>
    <t>B.16</t>
  </si>
  <si>
    <t>Socialización y publicación de resultados de investigación.</t>
  </si>
  <si>
    <t>mat.B[15] (Nivel Docente)</t>
  </si>
  <si>
    <t>Q6.1</t>
  </si>
  <si>
    <t>Entorno Institucional (Q6)</t>
  </si>
  <si>
    <t>Considero que la investigación como eje transversal debe estar presente en todas las asignaturas.</t>
  </si>
  <si>
    <t>doc.q6[0] (Nivel Docente)</t>
  </si>
  <si>
    <t>Q6.2</t>
  </si>
  <si>
    <t>La universidad cuenta con los recursos físicos necesarios (laboratorios, plataforma, biblioteca, etc.) para la implementación de la investigación formativa.</t>
  </si>
  <si>
    <t>doc.q6[1] (Nivel Docente)</t>
  </si>
  <si>
    <t>Q6.3</t>
  </si>
  <si>
    <t>La universidad cuenta con licencias de software necesarios para la implementación de la investigación formativa.</t>
  </si>
  <si>
    <t>doc.q6[2] (Nivel Docente)</t>
  </si>
  <si>
    <t>Q6.4</t>
  </si>
  <si>
    <t>La universidad fomenta en el profesorado el uso de estrategias de enseñanza-aprendizaje activas, vinculadas con la investigación formativa.</t>
  </si>
  <si>
    <t>doc.q6[3] (Nivel Docente)</t>
  </si>
  <si>
    <t>Q6.5</t>
  </si>
  <si>
    <t>La universidad ofrece programas de formación en competencias investigativas e implementación de la investigación formativa.</t>
  </si>
  <si>
    <t>doc.q6[4] (Nivel Docente)</t>
  </si>
  <si>
    <t>Q6.6</t>
  </si>
  <si>
    <t>La estructura curricular de las carreras permite el desarrollo de actividades de investigación formativa.</t>
  </si>
  <si>
    <t>doc.q6[5] (Nivel Docente)</t>
  </si>
  <si>
    <t>Q6.7</t>
  </si>
  <si>
    <t>El plan de estudio presenta el desarrollo de competencias investigativas de forma progresiva y en orden lógico.</t>
  </si>
  <si>
    <t>doc.q6[6] (Nivel Docente)</t>
  </si>
  <si>
    <t>Q6.8</t>
  </si>
  <si>
    <t>Los syllabus de las asignaturas que imparto plantean con claridad actividades para el desarrollo de competencias de investigación.</t>
  </si>
  <si>
    <t>doc.q6[7] (Nivel Docente)</t>
  </si>
  <si>
    <t>Q6.9</t>
  </si>
  <si>
    <t>Se promueve la coordinación efectiva entre el profesorado de las distintas asignaturas para implementar la investigación formativa.</t>
  </si>
  <si>
    <t>doc.q6[8] (Nivel Docente)</t>
  </si>
  <si>
    <t>Q6.10</t>
  </si>
  <si>
    <t>La carga horaria asignada permite realizar acompañamiento y retroalimentación oportuna.</t>
  </si>
  <si>
    <t>doc.q6[9] (Nivel Docente)</t>
  </si>
  <si>
    <t>SIMULADOR PRÁCTICO INTERACTIVO: FÓRMULAS NATIVAS DE EXCEL EN VIVO</t>
  </si>
  <si>
    <t>Muestra representativa de 12 docentes con fórmulas activas para Media, Mediana, Desv. Estándar, % Favorable, Alfa de Cronbach y Correlaciones de Pearson</t>
  </si>
  <si>
    <t>Docente ID</t>
  </si>
  <si>
    <t>Género</t>
  </si>
  <si>
    <t>Q3.1
Probl.</t>
  </si>
  <si>
    <t>Q3.2
Diseño</t>
  </si>
  <si>
    <t>Q3.3
Instr.</t>
  </si>
  <si>
    <t>Q3.4
Softw.</t>
  </si>
  <si>
    <t>Q3.5
Teoría</t>
  </si>
  <si>
    <t>Q3.6
Búsq.</t>
  </si>
  <si>
    <t>Q3.7
Ref.</t>
  </si>
  <si>
    <t>Media Q3
(Indiv.)</t>
  </si>
  <si>
    <t>Suma Total
(Docente)</t>
  </si>
  <si>
    <t>Media A
(Práctica)</t>
  </si>
  <si>
    <t>Media B
(Estrat.)</t>
  </si>
  <si>
    <t>Media Q6
(Entorno)</t>
  </si>
  <si>
    <t>Docente-01</t>
  </si>
  <si>
    <t>Femenino</t>
  </si>
  <si>
    <t>Docente-02</t>
  </si>
  <si>
    <t>Masculino</t>
  </si>
  <si>
    <t>Docente-03</t>
  </si>
  <si>
    <t>Docente-04</t>
  </si>
  <si>
    <t>Docente-05</t>
  </si>
  <si>
    <t>Docente-06</t>
  </si>
  <si>
    <t>Docente-07</t>
  </si>
  <si>
    <t>Docente-08</t>
  </si>
  <si>
    <t>Docente-09</t>
  </si>
  <si>
    <t>Docente-10</t>
  </si>
  <si>
    <t>Docente-11</t>
  </si>
  <si>
    <t>Docente-12</t>
  </si>
  <si>
    <t>MEDIA (x̄) = AVERAGE(C5:C16)</t>
  </si>
  <si>
    <t>MEDIANA (Me) = MEDIAN(C5:C16)</t>
  </si>
  <si>
    <t>DESV. ESTÁNDAR (s) = STDEV.S(C5:C16)</t>
  </si>
  <si>
    <t>VARIANZA MUESTRAL (s²) = VAR.S(C5:C16)</t>
  </si>
  <si>
    <t>% FAVORABLE (5–7) = COUNTIF(&gt;=5) / COUNT</t>
  </si>
  <si>
    <t>% DESFAVORABLE (1–3) = COUNTIF(&lt;=3) / COUNT</t>
  </si>
  <si>
    <t>% NEUTRO (4) = COUNTIF(4) / COUNT</t>
  </si>
  <si>
    <t>CÁLCULO PSICOMÉTRICO EN VIVO: ALFA DE CRONBACH DE LA SECCIÓN Q3 (COMPETENCIAS)</t>
  </si>
  <si>
    <t>Número de Ítems (k):</t>
  </si>
  <si>
    <t>Suma de Varianzas de Ítems (∑ s_j²):</t>
  </si>
  <si>
    <t>Varianza del Puntaje Total (s_T²):</t>
  </si>
  <si>
    <t>COEFICIENTE ALFA DE CRONBACH (α):</t>
  </si>
  <si>
    <t>MATRIZ DE CORRELACIONES DE PEARSON EN VIVO: =CORREL(rango1, rango2)</t>
  </si>
  <si>
    <t>Q3 Competencias</t>
  </si>
  <si>
    <t>A Práctica Aula</t>
  </si>
  <si>
    <t>B Estrategias</t>
  </si>
  <si>
    <t>Q6 Entorno</t>
  </si>
  <si>
    <t>Interpretación según Cohen (1988): |r| &lt; 0.10 Trivial · 0.10–0.29 Débil · 0.30–0.49 Moderada · ≥ 0.50 Fuerte</t>
  </si>
  <si>
    <t>Correlación entre el dominio competencial autopercibido del docente y su práctica pedagógica activa en el aula.</t>
  </si>
  <si>
    <t>Correlación entre la frecuencia de actividades formativas y el repertorio de estrategias e instrumentos metodológicos.</t>
  </si>
  <si>
    <t>Correlación entre la aplicación de estrategias didácticas y el soporte del entorno/recursos institucionales.</t>
  </si>
  <si>
    <t>Correlación global entre condiciones institucionales favorables y competencias docentes demostradas.</t>
  </si>
  <si>
    <t>TABLAS DE BAREMOS NORMATIVOS Y CRITERIOS DE CORTE METODOLÓGICO</t>
  </si>
  <si>
    <t>Umbrales normativos aplicados en el Dashboard para la toma de decisiones y redacción de conclusiones</t>
  </si>
  <si>
    <t>1. BAREMO DE INTERPRETACIÓN PARA MEDIAS LIKERT (1 A 7)</t>
  </si>
  <si>
    <t>Nivel</t>
  </si>
  <si>
    <t>Intervalo de Puntuación</t>
  </si>
  <si>
    <t>Categoría Diagnóstica</t>
  </si>
  <si>
    <t>Acción Recomendada en el Modelo</t>
  </si>
  <si>
    <t>Nivel 1</t>
  </si>
  <si>
    <t>1.00 a 3.49</t>
  </si>
  <si>
    <t>Bajo / Insuficiente</t>
  </si>
  <si>
    <t>Área crítica de intervención urgente. Requiere capacitación o dotación de recursos.</t>
  </si>
  <si>
    <t>Nivel 2</t>
  </si>
  <si>
    <t>3.50 a 5.49</t>
  </si>
  <si>
    <t>Medio / En Desarrollo</t>
  </si>
  <si>
    <t>Práctica o competencia presente pero con variabilidad. Requiere estandarización y acompañamiento.</t>
  </si>
  <si>
    <t>Nivel 3</t>
  </si>
  <si>
    <t>5.50 a 7.00</t>
  </si>
  <si>
    <t>Alto / Consolidado</t>
  </si>
  <si>
    <t>Fortaleza institucional del cuerpo docente. Modelo de buenas prácticas para réplica institucional.</t>
  </si>
  <si>
    <t>2. BAREMO PSICOMÉTRICO PARA EL COEFICIENTE ALFA DE CRONBACH (George &amp; Mallery, 2003)</t>
  </si>
  <si>
    <t>Rango de Alfa (α)</t>
  </si>
  <si>
    <t>Nivel de Fiabilidad</t>
  </si>
  <si>
    <t>Consistencia Interna</t>
  </si>
  <si>
    <t>Validez para la Tesis Doctoral</t>
  </si>
  <si>
    <t>α ≥ 0.90</t>
  </si>
  <si>
    <t>Excelente</t>
  </si>
  <si>
    <t>Máxima homogeneidad</t>
  </si>
  <si>
    <t>Apto para decisiones de alto impacto y modelación estructural.</t>
  </si>
  <si>
    <t>0.80 ≤ α &lt; 0.90</t>
  </si>
  <si>
    <t>Bueno</t>
  </si>
  <si>
    <t>Adecuada consistencia</t>
  </si>
  <si>
    <t>Completamente confiable para investigación social y educativa.</t>
  </si>
  <si>
    <t>0.70 ≤ α &lt; 0.80</t>
  </si>
  <si>
    <t>Aceptable</t>
  </si>
  <si>
    <t>Consistencia estándar</t>
  </si>
  <si>
    <t>Umbral mínimo aceptado en ciencias sociales para diagnóstico.</t>
  </si>
  <si>
    <t>0.60 ≤ α &lt; 0.70</t>
  </si>
  <si>
    <t>Cuestionable</t>
  </si>
  <si>
    <t>Consistencia moderada</t>
  </si>
  <si>
    <t>Requiere revisión o ajuste de ítems ambiguos en la sección.</t>
  </si>
  <si>
    <t>α &lt; 0.60</t>
  </si>
  <si>
    <t>Bajo / Pobre</t>
  </si>
  <si>
    <t>Inaceptable</t>
  </si>
  <si>
    <t>Inconsistencia en las respuestas; los ítems no miden el mismo constructo.</t>
  </si>
  <si>
    <t>3. BAREMO PARA LA FUERZA DEL COEFICIENTE DE CORRELACIÓN DE PEARSON (Cohen, 1988)</t>
  </si>
  <si>
    <t>Magnitud (|r|)</t>
  </si>
  <si>
    <t>Fuerza de la Asociación</t>
  </si>
  <si>
    <t>Dirección del Vínculo</t>
  </si>
  <si>
    <t>Significado en la Formación Investigativa</t>
  </si>
  <si>
    <t>|r| &lt; 0.10</t>
  </si>
  <si>
    <t>Trivial / Nula</t>
  </si>
  <si>
    <t>Independiente</t>
  </si>
  <si>
    <t>No existe relación lineal entre las variables evaluadas.</t>
  </si>
  <si>
    <t>0.10 ≤ |r| &lt; 0.30</t>
  </si>
  <si>
    <t>Pequeña / Débil</t>
  </si>
  <si>
    <t>Positiva o Negativa</t>
  </si>
  <si>
    <t>Existe una tendencia incipiente pero no concluyente.</t>
  </si>
  <si>
    <t>0.30 ≤ |r| &lt; 0.50</t>
  </si>
  <si>
    <t>Mediana / Moderada</t>
  </si>
  <si>
    <t>Relación sustantiva: una variable influye moderadamente en la otra.</t>
  </si>
  <si>
    <t>|r| ≥ 0.50</t>
  </si>
  <si>
    <t>Grande / Fuerte</t>
  </si>
  <si>
    <t>Fuerte interdependencia causal o empírica en el modelo formativo.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</si>
</sst>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30" x14ac:knownFonts="1">
    <font>
      <sz val="11"/>
      <color theme="1"/>
      <name val="Calibri"/>
      <family val="2"/>
      <scheme val="minor"/>
    </font>
    <font>
      <b/>
      <sz val="16"/>
      <color rgb="FFFFFFFF"/>
      <name val="Calibri"/>
      <family val="2"/>
    </font>
    <font>
      <b/>
      <sz val="12"/>
      <color rgb="FFC59B27"/>
      <name val="Calibri"/>
      <family val="2"/>
    </font>
    <font>
      <i/>
      <sz val="10"/>
      <color rgb="FFCBD5E1"/>
      <name val="Calibri"/>
      <family val="2"/>
    </font>
    <font>
      <b/>
      <sz val="12"/>
      <color rgb="FFFFFFFF"/>
      <name val="Calibri"/>
      <family val="2"/>
    </font>
    <font>
      <sz val="10"/>
      <color rgb="FF1E293B"/>
      <name val="Calibri"/>
      <family val="2"/>
    </font>
    <font>
      <b/>
      <sz val="10.5"/>
      <color rgb="FFFFFFFF"/>
      <name val="Calibri"/>
      <family val="2"/>
    </font>
    <font>
      <b/>
      <sz val="14"/>
      <color rgb="FFFFFFFF"/>
      <name val="Calibri"/>
      <family val="2"/>
    </font>
    <font>
      <i/>
      <sz val="10"/>
      <color rgb="FFC59B27"/>
      <name val="Calibri"/>
      <family val="2"/>
    </font>
    <font>
      <b/>
      <sz val="9.5"/>
      <color rgb="FF0F2530"/>
      <name val="Calibri"/>
      <family val="2"/>
    </font>
    <font>
      <b/>
      <sz val="9.5"/>
      <color rgb="FF007783"/>
      <name val="Calibri"/>
      <family val="2"/>
    </font>
    <font>
      <sz val="9.5"/>
      <name val="Calibri"/>
      <family val="2"/>
    </font>
    <font>
      <sz val="8.5"/>
      <color rgb="FF0F172A"/>
      <name val="Consolas"/>
      <family val="3"/>
    </font>
    <font>
      <b/>
      <sz val="9.5"/>
      <color rgb="FFFFFFFF"/>
      <name val="Calibri"/>
      <family val="2"/>
    </font>
    <font>
      <b/>
      <sz val="9.5"/>
      <color rgb="FFC59B27"/>
      <name val="Calibri"/>
      <family val="2"/>
    </font>
    <font>
      <b/>
      <sz val="9.5"/>
      <color rgb="FF004D40"/>
      <name val="Calibri"/>
      <family val="2"/>
    </font>
    <font>
      <b/>
      <sz val="9.5"/>
      <color rgb="FF0F172A"/>
      <name val="Calibri"/>
      <family val="2"/>
    </font>
    <font>
      <sz val="9.5"/>
      <color rgb="FF0F172A"/>
      <name val="Calibri"/>
      <family val="2"/>
    </font>
    <font>
      <b/>
      <sz val="9.5"/>
      <color rgb="FF1B5E20"/>
      <name val="Calibri"/>
      <family val="2"/>
    </font>
    <font>
      <b/>
      <sz val="9.5"/>
      <color rgb="FFB71C1C"/>
      <name val="Calibri"/>
      <family val="2"/>
    </font>
    <font>
      <sz val="9.5"/>
      <color rgb="FFB71C1C"/>
      <name val="Calibri"/>
      <family val="2"/>
    </font>
    <font>
      <b/>
      <sz val="9.5"/>
      <color rgb="FF475569"/>
      <name val="Calibri"/>
      <family val="2"/>
    </font>
    <font>
      <sz val="9.5"/>
      <color rgb="FF475569"/>
      <name val="Calibri"/>
      <family val="2"/>
    </font>
    <font>
      <b/>
      <sz val="11"/>
      <color rgb="FFFFFFFF"/>
      <name val="Calibri"/>
      <family val="2"/>
    </font>
    <font>
      <b/>
      <sz val="9.5"/>
      <name val="Calibri"/>
      <family val="2"/>
    </font>
    <font>
      <b/>
      <sz val="10"/>
      <color rgb="FF4A148C"/>
      <name val="Calibri"/>
      <family val="2"/>
    </font>
    <font>
      <b/>
      <sz val="12"/>
      <color rgb="FF4A148C"/>
      <name val="Calibri"/>
      <family val="2"/>
    </font>
    <font>
      <i/>
      <sz val="9"/>
      <color rgb="FF64748B"/>
      <name val="Calibri"/>
      <family val="2"/>
    </font>
    <font>
      <sz val="9"/>
      <color rgb="FF334155"/>
      <name val="Calibri"/>
      <family val="2"/>
    </font>
    <font>
      <b/>
      <sz val="10"/>
      <color rgb="FFFFFFFF"/>
      <name val="Calibri"/>
      <family val="2"/>
    </font>
  </fonts>
  <fills count="15">
    <fill>
      <patternFill patternType="none"/>
    </fill>
    <fill>
      <patternFill patternType="gray125"/>
    </fill>
    <fill>
      <patternFill patternType="solid">
        <fgColor rgb="FF0F2530"/>
      </patternFill>
    </fill>
    <fill>
      <patternFill patternType="solid">
        <fgColor rgb="FF0099A8"/>
      </patternFill>
    </fill>
    <fill>
      <patternFill patternType="solid">
        <fgColor rgb="FFF8FAFC"/>
      </patternFill>
    </fill>
    <fill>
      <patternFill patternType="solid">
        <fgColor rgb="FFC59B27"/>
      </patternFill>
    </fill>
    <fill>
      <patternFill patternType="solid">
        <fgColor rgb="FF6C63D9"/>
      </patternFill>
    </fill>
    <fill>
      <patternFill patternType="solid">
        <fgColor rgb="FFE6F7F9"/>
      </patternFill>
    </fill>
    <fill>
      <patternFill patternType="solid">
        <fgColor rgb="FFFDF8E7"/>
      </patternFill>
    </fill>
    <fill>
      <patternFill patternType="solid">
        <fgColor rgb="FFE0F2F1"/>
      </patternFill>
    </fill>
    <fill>
      <patternFill patternType="solid">
        <fgColor rgb="FFF1F5F9"/>
      </patternFill>
    </fill>
    <fill>
      <patternFill patternType="solid">
        <fgColor rgb="FFE8F5E9"/>
      </patternFill>
    </fill>
    <fill>
      <patternFill patternType="solid">
        <fgColor rgb="FFFFEBEE"/>
      </patternFill>
    </fill>
    <fill>
      <patternFill patternType="solid">
        <fgColor rgb="FFF3E5F5"/>
      </patternFill>
    </fill>
    <fill>
      <patternFill patternType="solid">
        <fgColor rgb="FFE2E8F0"/>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1">
    <xf numFmtId="0" fontId="0" fillId="0" borderId="0"/>
  </cellStyleXfs>
  <cellXfs count="67">
    <xf numFmtId="0" fontId="0" fillId="0" borderId="0" xfId="0"/>
    <xf numFmtId="0" fontId="6" fillId="2" borderId="1" xfId="0" applyFont="1" applyFill="1" applyBorder="1" applyAlignment="1">
      <alignment vertical="center" wrapText="1"/>
    </xf>
    <xf numFmtId="0" fontId="5" fillId="0" borderId="1" xfId="0" applyFont="1" applyBorder="1" applyAlignment="1">
      <alignment vertical="center" wrapText="1"/>
    </xf>
    <xf numFmtId="0" fontId="5" fillId="4" borderId="1" xfId="0" applyFont="1" applyFill="1" applyBorder="1" applyAlignment="1">
      <alignment vertical="center" wrapText="1"/>
    </xf>
    <xf numFmtId="0" fontId="6" fillId="3" borderId="1" xfId="0" applyFont="1" applyFill="1" applyBorder="1" applyAlignment="1">
      <alignment horizontal="center" vertical="center" wrapText="1"/>
    </xf>
    <xf numFmtId="0" fontId="9" fillId="0" borderId="1" xfId="0" applyFont="1" applyBorder="1" applyAlignment="1">
      <alignment horizontal="center" vertical="center"/>
    </xf>
    <xf numFmtId="0" fontId="10" fillId="0" borderId="1" xfId="0" applyFont="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9" fillId="4" borderId="1" xfId="0" applyFont="1" applyFill="1" applyBorder="1" applyAlignment="1">
      <alignment horizontal="center" vertical="center"/>
    </xf>
    <xf numFmtId="0" fontId="10" fillId="4" borderId="1" xfId="0" applyFont="1" applyFill="1" applyBorder="1" applyAlignment="1">
      <alignment vertical="center" wrapText="1"/>
    </xf>
    <xf numFmtId="0" fontId="11" fillId="4" borderId="1" xfId="0" applyFont="1" applyFill="1" applyBorder="1" applyAlignment="1">
      <alignment vertical="center" wrapText="1"/>
    </xf>
    <xf numFmtId="0" fontId="12" fillId="4" borderId="1" xfId="0" applyFont="1" applyFill="1" applyBorder="1" applyAlignment="1">
      <alignment vertical="center" wrapText="1"/>
    </xf>
    <xf numFmtId="0" fontId="6" fillId="6" borderId="1" xfId="0" applyFont="1" applyFill="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1" fillId="0" borderId="1" xfId="0" applyFont="1" applyBorder="1" applyAlignment="1">
      <alignment horizontal="left" vertical="center" indent="1"/>
    </xf>
    <xf numFmtId="2" fontId="10" fillId="7" borderId="1" xfId="0" applyNumberFormat="1" applyFont="1" applyFill="1" applyBorder="1" applyAlignment="1">
      <alignment horizontal="center" vertical="center"/>
    </xf>
    <xf numFmtId="1" fontId="14" fillId="8" borderId="1" xfId="0" applyNumberFormat="1" applyFont="1" applyFill="1" applyBorder="1" applyAlignment="1">
      <alignment horizontal="center" vertical="center"/>
    </xf>
    <xf numFmtId="2" fontId="11" fillId="0" borderId="1" xfId="0" applyNumberFormat="1" applyFont="1" applyBorder="1" applyAlignment="1">
      <alignment horizontal="center" vertical="center"/>
    </xf>
    <xf numFmtId="0" fontId="11" fillId="4" borderId="1" xfId="0" applyFont="1" applyFill="1" applyBorder="1" applyAlignment="1">
      <alignment horizontal="left" vertical="center" indent="1"/>
    </xf>
    <xf numFmtId="2" fontId="11" fillId="4" borderId="1" xfId="0" applyNumberFormat="1" applyFont="1" applyFill="1" applyBorder="1" applyAlignment="1">
      <alignment horizontal="center" vertical="center"/>
    </xf>
    <xf numFmtId="2" fontId="15" fillId="9" borderId="1" xfId="0" applyNumberFormat="1" applyFont="1" applyFill="1" applyBorder="1" applyAlignment="1">
      <alignment horizontal="center" vertical="center"/>
    </xf>
    <xf numFmtId="164" fontId="17" fillId="10" borderId="1" xfId="0" applyNumberFormat="1" applyFont="1" applyFill="1" applyBorder="1" applyAlignment="1">
      <alignment horizontal="center" vertical="center"/>
    </xf>
    <xf numFmtId="2" fontId="17" fillId="10" borderId="1" xfId="0" applyNumberFormat="1" applyFont="1" applyFill="1" applyBorder="1" applyAlignment="1">
      <alignment horizontal="center" vertical="center"/>
    </xf>
    <xf numFmtId="165" fontId="18" fillId="11" borderId="1" xfId="0" applyNumberFormat="1" applyFont="1" applyFill="1" applyBorder="1" applyAlignment="1">
      <alignment horizontal="center" vertical="center"/>
    </xf>
    <xf numFmtId="165" fontId="20" fillId="12" borderId="1" xfId="0" applyNumberFormat="1" applyFont="1" applyFill="1" applyBorder="1" applyAlignment="1">
      <alignment horizontal="center" vertical="center"/>
    </xf>
    <xf numFmtId="165" fontId="22" fillId="10" borderId="1" xfId="0" applyNumberFormat="1" applyFont="1" applyFill="1" applyBorder="1" applyAlignment="1">
      <alignment horizontal="center" vertical="center"/>
    </xf>
    <xf numFmtId="0" fontId="24" fillId="0" borderId="1" xfId="0" applyFont="1" applyBorder="1" applyAlignment="1">
      <alignment horizontal="center" vertical="center"/>
    </xf>
    <xf numFmtId="2" fontId="24" fillId="0" borderId="1" xfId="0" applyNumberFormat="1" applyFont="1" applyBorder="1" applyAlignment="1">
      <alignment horizontal="center" vertical="center"/>
    </xf>
    <xf numFmtId="0" fontId="0" fillId="0" borderId="1" xfId="0" applyBorder="1"/>
    <xf numFmtId="0" fontId="24" fillId="4" borderId="1" xfId="0" applyFont="1" applyFill="1" applyBorder="1"/>
    <xf numFmtId="0" fontId="13" fillId="2" borderId="1" xfId="0"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7" borderId="1" xfId="0" applyNumberFormat="1" applyFont="1" applyFill="1" applyBorder="1" applyAlignment="1">
      <alignment horizontal="center" vertical="center"/>
    </xf>
    <xf numFmtId="0" fontId="29" fillId="2" borderId="1" xfId="0" applyFont="1" applyFill="1" applyBorder="1" applyAlignment="1">
      <alignment horizontal="center" vertical="center"/>
    </xf>
    <xf numFmtId="0" fontId="24" fillId="0" borderId="1" xfId="0" applyFont="1" applyBorder="1" applyAlignment="1">
      <alignment vertical="center" wrapText="1"/>
    </xf>
    <xf numFmtId="0" fontId="24" fillId="4" borderId="1" xfId="0" applyFont="1" applyFill="1" applyBorder="1" applyAlignment="1">
      <alignment vertical="center" wrapText="1"/>
    </xf>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0" xfId="0" applyFont="1" applyFill="1" applyAlignment="1">
      <alignment vertical="center" indent="1"/>
    </xf>
    <xf numFmtId="0" fontId="5" fillId="4" borderId="1" xfId="0" applyFont="1" applyFill="1" applyBorder="1" applyAlignment="1">
      <alignment vertical="top" wrapText="1"/>
    </xf>
    <xf numFmtId="0" fontId="4" fillId="5" borderId="0" xfId="0" applyFont="1" applyFill="1" applyAlignment="1">
      <alignment vertical="center" indent="1"/>
    </xf>
    <xf numFmtId="0" fontId="6" fillId="2" borderId="1" xfId="0" applyFont="1" applyFill="1" applyBorder="1" applyAlignment="1">
      <alignment vertical="center" wrapText="1"/>
    </xf>
    <xf numFmtId="0" fontId="5" fillId="0" borderId="1" xfId="0" applyFont="1" applyBorder="1" applyAlignment="1">
      <alignment vertical="center" wrapText="1"/>
    </xf>
    <xf numFmtId="0" fontId="5" fillId="4" borderId="1" xfId="0" applyFont="1" applyFill="1" applyBorder="1" applyAlignment="1">
      <alignment vertical="center" wrapText="1"/>
    </xf>
    <xf numFmtId="0" fontId="7" fillId="2" borderId="0" xfId="0" applyFont="1" applyFill="1" applyAlignment="1">
      <alignment horizontal="center" vertical="center"/>
    </xf>
    <xf numFmtId="0" fontId="8" fillId="2" borderId="0" xfId="0" applyFont="1" applyFill="1" applyAlignment="1">
      <alignment horizontal="center" vertical="center"/>
    </xf>
    <xf numFmtId="0" fontId="15" fillId="9" borderId="1" xfId="0" applyFont="1" applyFill="1" applyBorder="1" applyAlignment="1">
      <alignment vertical="center" indent="1"/>
    </xf>
    <xf numFmtId="0" fontId="16" fillId="10" borderId="1" xfId="0" applyFont="1" applyFill="1" applyBorder="1" applyAlignment="1">
      <alignment vertical="center" indent="1"/>
    </xf>
    <xf numFmtId="0" fontId="18" fillId="11" borderId="1" xfId="0" applyFont="1" applyFill="1" applyBorder="1" applyAlignment="1">
      <alignment vertical="center" indent="1"/>
    </xf>
    <xf numFmtId="0" fontId="19" fillId="12" borderId="1" xfId="0" applyFont="1" applyFill="1" applyBorder="1" applyAlignment="1">
      <alignment vertical="center" indent="1"/>
    </xf>
    <xf numFmtId="0" fontId="21" fillId="10" borderId="1" xfId="0" applyFont="1" applyFill="1" applyBorder="1" applyAlignment="1">
      <alignment vertical="center" indent="1"/>
    </xf>
    <xf numFmtId="0" fontId="23" fillId="6" borderId="0" xfId="0" applyFont="1" applyFill="1" applyAlignment="1">
      <alignment horizontal="center" vertical="center"/>
    </xf>
    <xf numFmtId="0" fontId="24" fillId="0" borderId="1" xfId="0" applyFont="1" applyBorder="1" applyAlignment="1">
      <alignment vertical="center" indent="1"/>
    </xf>
    <xf numFmtId="0" fontId="25" fillId="13" borderId="1" xfId="0" applyFont="1" applyFill="1" applyBorder="1" applyAlignment="1">
      <alignment vertical="center" indent="1"/>
    </xf>
    <xf numFmtId="166" fontId="26" fillId="13" borderId="1" xfId="0" applyNumberFormat="1" applyFont="1" applyFill="1" applyBorder="1" applyAlignment="1">
      <alignment horizontal="center" vertical="center"/>
    </xf>
    <xf numFmtId="0" fontId="23" fillId="5" borderId="0" xfId="0" applyFont="1" applyFill="1" applyAlignment="1">
      <alignment horizontal="center" vertical="center"/>
    </xf>
    <xf numFmtId="0" fontId="27" fillId="0" borderId="1" xfId="0" applyFont="1" applyBorder="1" applyAlignment="1">
      <alignment vertical="center" indent="1"/>
    </xf>
    <xf numFmtId="0" fontId="28" fillId="0" borderId="1" xfId="0" applyFont="1" applyBorder="1" applyAlignment="1">
      <alignment vertical="center" indent="1"/>
    </xf>
    <xf numFmtId="0" fontId="23" fillId="3" borderId="0" xfId="0" applyFont="1" applyFill="1" applyAlignment="1">
      <alignment vertical="center" indent="1"/>
    </xf>
    <xf numFmtId="0" fontId="23" fillId="6" borderId="0" xfId="0" applyFont="1" applyFill="1" applyAlignment="1">
      <alignment vertical="center" indent="1"/>
    </xf>
    <xf numFmtId="0" fontId="23" fillId="5" borderId="0" xfId="0" applyFont="1" applyFill="1" applyAlignment="1">
      <alignmen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A8"/>
  </sheetPr>
  <dimension ref="B2:E21"/>
  <sheetViews>
    <sheetView tabSelected="1" workbookViewId="0">
      <selection activeCell="D17" sqref="D17:E17"/>
    </sheetView>
  </sheetViews>
  <sheetFormatPr defaultRowHeight="15" x14ac:dyDescent="0.25"/>
  <cols>
    <col min="1" max="1" width="5" customWidth="1"/>
    <col min="2" max="2" width="28" customWidth="1"/>
    <col min="3" max="3" width="45" customWidth="1"/>
    <col min="4" max="4" width="35" customWidth="1"/>
    <col min="5" max="5" width="25" customWidth="1"/>
  </cols>
  <sheetData>
    <row r="2" spans="2:5" ht="21" x14ac:dyDescent="0.25">
      <c r="B2" s="41" t="s">
        <v>0</v>
      </c>
      <c r="C2" s="41"/>
      <c r="D2" s="41"/>
      <c r="E2" s="41"/>
    </row>
    <row r="3" spans="2:5" ht="15.75" x14ac:dyDescent="0.25">
      <c r="B3" s="42" t="s">
        <v>1</v>
      </c>
      <c r="C3" s="42"/>
      <c r="D3" s="42"/>
      <c r="E3" s="42"/>
    </row>
    <row r="4" spans="2:5" x14ac:dyDescent="0.25">
      <c r="B4" s="43" t="s">
        <v>2</v>
      </c>
      <c r="C4" s="43"/>
      <c r="D4" s="43"/>
      <c r="E4" s="43"/>
    </row>
    <row r="6" spans="2:5" ht="15.75" x14ac:dyDescent="0.25">
      <c r="B6" s="44" t="s">
        <v>3</v>
      </c>
      <c r="C6" s="44"/>
      <c r="D6" s="44"/>
      <c r="E6" s="44"/>
    </row>
    <row r="7" spans="2:5" x14ac:dyDescent="0.25">
      <c r="B7" s="45" t="s">
        <v>4</v>
      </c>
      <c r="C7" s="45"/>
      <c r="D7" s="45"/>
      <c r="E7" s="45"/>
    </row>
    <row r="9" spans="2:5" ht="15.75" x14ac:dyDescent="0.25">
      <c r="B9" s="44" t="s">
        <v>5</v>
      </c>
      <c r="C9" s="44"/>
      <c r="D9" s="44"/>
      <c r="E9" s="44"/>
    </row>
    <row r="10" spans="2:5" x14ac:dyDescent="0.25">
      <c r="B10" s="45" t="s">
        <v>6</v>
      </c>
      <c r="C10" s="45"/>
      <c r="D10" s="45"/>
      <c r="E10" s="45"/>
    </row>
    <row r="12" spans="2:5" ht="15.75" x14ac:dyDescent="0.25">
      <c r="B12" s="44" t="s">
        <v>7</v>
      </c>
      <c r="C12" s="44"/>
      <c r="D12" s="44"/>
      <c r="E12" s="44"/>
    </row>
    <row r="13" spans="2:5" x14ac:dyDescent="0.25">
      <c r="B13" s="45" t="s">
        <v>8</v>
      </c>
      <c r="C13" s="45"/>
      <c r="D13" s="45"/>
      <c r="E13" s="45"/>
    </row>
    <row r="15" spans="2:5" ht="15.75" x14ac:dyDescent="0.25">
      <c r="B15" s="46" t="s">
        <v>9</v>
      </c>
      <c r="C15" s="46"/>
      <c r="D15" s="46"/>
      <c r="E15" s="46"/>
    </row>
    <row r="16" spans="2:5" x14ac:dyDescent="0.25">
      <c r="B16" s="1" t="s">
        <v>10</v>
      </c>
      <c r="C16" s="1" t="s">
        <v>11</v>
      </c>
      <c r="D16" s="47" t="s">
        <v>12</v>
      </c>
      <c r="E16" s="47"/>
    </row>
    <row r="17" spans="2:5" x14ac:dyDescent="0.25">
      <c r="B17" s="2" t="s">
        <v>13</v>
      </c>
      <c r="C17" s="2" t="s">
        <v>14</v>
      </c>
      <c r="D17" s="48" t="s">
        <v>15</v>
      </c>
      <c r="E17" s="48"/>
    </row>
    <row r="18" spans="2:5" x14ac:dyDescent="0.25">
      <c r="B18" s="3" t="s">
        <v>16</v>
      </c>
      <c r="C18" s="3" t="s">
        <v>17</v>
      </c>
      <c r="D18" s="49" t="s">
        <v>18</v>
      </c>
      <c r="E18" s="49"/>
    </row>
    <row r="19" spans="2:5" x14ac:dyDescent="0.25">
      <c r="B19" s="2" t="s">
        <v>19</v>
      </c>
      <c r="C19" s="2" t="s">
        <v>20</v>
      </c>
      <c r="D19" s="48" t="s">
        <v>21</v>
      </c>
      <c r="E19" s="48"/>
    </row>
    <row r="20" spans="2:5" x14ac:dyDescent="0.25">
      <c r="B20" s="3" t="s">
        <v>22</v>
      </c>
      <c r="C20" s="3" t="s">
        <v>23</v>
      </c>
      <c r="D20" s="49" t="s">
        <v>24</v>
      </c>
      <c r="E20" s="49"/>
    </row>
    <row r="21" spans="2:5" x14ac:dyDescent="0.25">
      <c r="B21" s="2" t="s">
        <v>25</v>
      </c>
      <c r="C21" s="2" t="s">
        <v>26</v>
      </c>
      <c r="D21" s="48" t="s">
        <v>27</v>
      </c>
      <c r="E21" s="48"/>
    </row>
  </sheetData>
  <mergeCells count="16">
    <mergeCell ref="D21:E21"/>
    <mergeCell ref="D16:E16"/>
    <mergeCell ref="D17:E17"/>
    <mergeCell ref="D18:E18"/>
    <mergeCell ref="D19:E19"/>
    <mergeCell ref="D20:E20"/>
    <mergeCell ref="B9:E9"/>
    <mergeCell ref="B10:E10"/>
    <mergeCell ref="B12:E12"/>
    <mergeCell ref="B13:E13"/>
    <mergeCell ref="B15:E15"/>
    <mergeCell ref="B2:E2"/>
    <mergeCell ref="B3:E3"/>
    <mergeCell ref="B4:E4"/>
    <mergeCell ref="B6:E6"/>
    <mergeCell ref="B7:E7"/>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59B27"/>
  </sheetPr>
  <dimension ref="A1:H19"/>
  <sheetViews>
    <sheetView workbookViewId="0">
      <pane ySplit="4" topLeftCell="A5" activePane="bottomLeft" state="frozen"/>
      <selection pane="bottomLeft" activeCell="H7" sqref="H7"/>
    </sheetView>
  </sheetViews>
  <sheetFormatPr defaultRowHeight="15" x14ac:dyDescent="0.25"/>
  <cols>
    <col min="1" max="1" width="10" customWidth="1"/>
    <col min="2" max="2" width="24" customWidth="1"/>
    <col min="3" max="3" width="18" customWidth="1"/>
    <col min="4" max="4" width="38" customWidth="1"/>
    <col min="5" max="5" width="30" customWidth="1"/>
    <col min="6" max="6" width="36" customWidth="1"/>
    <col min="7" max="7" width="38" customWidth="1"/>
    <col min="8" max="8" width="28" customWidth="1"/>
  </cols>
  <sheetData>
    <row r="1" spans="1:8" ht="27.95" customHeight="1" x14ac:dyDescent="0.25">
      <c r="A1" s="50" t="s">
        <v>28</v>
      </c>
      <c r="B1" s="50"/>
      <c r="C1" s="50"/>
      <c r="D1" s="50"/>
      <c r="E1" s="50"/>
      <c r="F1" s="50"/>
      <c r="G1" s="50"/>
      <c r="H1" s="50"/>
    </row>
    <row r="2" spans="1:8" ht="18" customHeight="1" x14ac:dyDescent="0.25">
      <c r="A2" s="51" t="s">
        <v>29</v>
      </c>
      <c r="B2" s="51"/>
      <c r="C2" s="51"/>
      <c r="D2" s="51"/>
      <c r="E2" s="51"/>
      <c r="F2" s="51"/>
      <c r="G2" s="51"/>
      <c r="H2" s="51"/>
    </row>
    <row r="3" spans="1:8" ht="6" customHeight="1" x14ac:dyDescent="0.25"/>
    <row r="4" spans="1:8" ht="27.95" customHeight="1" x14ac:dyDescent="0.25">
      <c r="A4" s="4" t="s">
        <v>30</v>
      </c>
      <c r="B4" s="4" t="s">
        <v>31</v>
      </c>
      <c r="C4" s="4" t="s">
        <v>32</v>
      </c>
      <c r="D4" s="4" t="s">
        <v>33</v>
      </c>
      <c r="E4" s="4" t="s">
        <v>34</v>
      </c>
      <c r="F4" s="4" t="s">
        <v>35</v>
      </c>
      <c r="G4" s="4" t="s">
        <v>36</v>
      </c>
      <c r="H4" s="4" t="s">
        <v>37</v>
      </c>
    </row>
    <row r="5" spans="1:8" ht="42" customHeight="1" x14ac:dyDescent="0.25">
      <c r="A5" s="5" t="s">
        <v>38</v>
      </c>
      <c r="B5" s="6" t="s">
        <v>39</v>
      </c>
      <c r="C5" s="7" t="s">
        <v>40</v>
      </c>
      <c r="D5" s="7" t="s">
        <v>41</v>
      </c>
      <c r="E5" s="8" t="s">
        <v>42</v>
      </c>
      <c r="F5" s="8" t="s">
        <v>43</v>
      </c>
      <c r="G5" s="8" t="s">
        <v>44</v>
      </c>
      <c r="H5" s="7" t="s">
        <v>45</v>
      </c>
    </row>
    <row r="6" spans="1:8" ht="42" customHeight="1" x14ac:dyDescent="0.25">
      <c r="A6" s="9" t="s">
        <v>46</v>
      </c>
      <c r="B6" s="10" t="s">
        <v>47</v>
      </c>
      <c r="C6" s="11" t="s">
        <v>48</v>
      </c>
      <c r="D6" s="11" t="s">
        <v>49</v>
      </c>
      <c r="E6" s="12" t="s">
        <v>50</v>
      </c>
      <c r="F6" s="12" t="s">
        <v>51</v>
      </c>
      <c r="G6" s="12" t="s">
        <v>52</v>
      </c>
      <c r="H6" s="11" t="s">
        <v>53</v>
      </c>
    </row>
    <row r="7" spans="1:8" ht="42" customHeight="1" x14ac:dyDescent="0.25">
      <c r="A7" s="5" t="s">
        <v>54</v>
      </c>
      <c r="B7" s="6" t="s">
        <v>55</v>
      </c>
      <c r="C7" s="7" t="s">
        <v>56</v>
      </c>
      <c r="D7" s="7" t="s">
        <v>57</v>
      </c>
      <c r="E7" s="8" t="s">
        <v>58</v>
      </c>
      <c r="F7" s="8" t="s">
        <v>59</v>
      </c>
      <c r="G7" s="8" t="s">
        <v>60</v>
      </c>
      <c r="H7" s="7" t="s">
        <v>61</v>
      </c>
    </row>
    <row r="8" spans="1:8" ht="42" customHeight="1" x14ac:dyDescent="0.25">
      <c r="A8" s="9" t="s">
        <v>62</v>
      </c>
      <c r="B8" s="10" t="s">
        <v>63</v>
      </c>
      <c r="C8" s="11" t="s">
        <v>48</v>
      </c>
      <c r="D8" s="11" t="s">
        <v>64</v>
      </c>
      <c r="E8" s="12" t="s">
        <v>65</v>
      </c>
      <c r="F8" s="12" t="s">
        <v>66</v>
      </c>
      <c r="G8" s="12" t="s">
        <v>67</v>
      </c>
      <c r="H8" s="11" t="s">
        <v>68</v>
      </c>
    </row>
    <row r="9" spans="1:8" ht="42" customHeight="1" x14ac:dyDescent="0.25">
      <c r="A9" s="5" t="s">
        <v>69</v>
      </c>
      <c r="B9" s="6" t="s">
        <v>70</v>
      </c>
      <c r="C9" s="7" t="s">
        <v>71</v>
      </c>
      <c r="D9" s="7" t="s">
        <v>72</v>
      </c>
      <c r="E9" s="8" t="s">
        <v>73</v>
      </c>
      <c r="F9" s="8" t="s">
        <v>74</v>
      </c>
      <c r="G9" s="8" t="s">
        <v>75</v>
      </c>
      <c r="H9" s="7" t="s">
        <v>76</v>
      </c>
    </row>
    <row r="10" spans="1:8" ht="42" customHeight="1" x14ac:dyDescent="0.25">
      <c r="A10" s="9" t="s">
        <v>77</v>
      </c>
      <c r="B10" s="10" t="s">
        <v>78</v>
      </c>
      <c r="C10" s="11" t="s">
        <v>79</v>
      </c>
      <c r="D10" s="11" t="s">
        <v>80</v>
      </c>
      <c r="E10" s="12" t="s">
        <v>81</v>
      </c>
      <c r="F10" s="12" t="s">
        <v>82</v>
      </c>
      <c r="G10" s="12" t="s">
        <v>83</v>
      </c>
      <c r="H10" s="11" t="s">
        <v>84</v>
      </c>
    </row>
    <row r="11" spans="1:8" ht="42" customHeight="1" x14ac:dyDescent="0.25">
      <c r="A11" s="5" t="s">
        <v>85</v>
      </c>
      <c r="B11" s="6" t="s">
        <v>86</v>
      </c>
      <c r="C11" s="7" t="s">
        <v>87</v>
      </c>
      <c r="D11" s="7" t="s">
        <v>88</v>
      </c>
      <c r="E11" s="8" t="s">
        <v>89</v>
      </c>
      <c r="F11" s="8" t="s">
        <v>90</v>
      </c>
      <c r="G11" s="8" t="s">
        <v>91</v>
      </c>
      <c r="H11" s="7" t="s">
        <v>92</v>
      </c>
    </row>
    <row r="12" spans="1:8" ht="42" customHeight="1" x14ac:dyDescent="0.25">
      <c r="A12" s="9" t="s">
        <v>93</v>
      </c>
      <c r="B12" s="10" t="s">
        <v>94</v>
      </c>
      <c r="C12" s="11" t="s">
        <v>95</v>
      </c>
      <c r="D12" s="11" t="s">
        <v>96</v>
      </c>
      <c r="E12" s="12" t="s">
        <v>97</v>
      </c>
      <c r="F12" s="12" t="s">
        <v>98</v>
      </c>
      <c r="G12" s="12" t="s">
        <v>99</v>
      </c>
      <c r="H12" s="11" t="s">
        <v>100</v>
      </c>
    </row>
    <row r="13" spans="1:8" ht="42" customHeight="1" x14ac:dyDescent="0.25">
      <c r="A13" s="5" t="s">
        <v>101</v>
      </c>
      <c r="B13" s="6" t="s">
        <v>102</v>
      </c>
      <c r="C13" s="7" t="s">
        <v>103</v>
      </c>
      <c r="D13" s="7" t="s">
        <v>104</v>
      </c>
      <c r="E13" s="8" t="s">
        <v>105</v>
      </c>
      <c r="F13" s="8" t="s">
        <v>106</v>
      </c>
      <c r="G13" s="8" t="s">
        <v>107</v>
      </c>
      <c r="H13" s="7" t="s">
        <v>108</v>
      </c>
    </row>
    <row r="14" spans="1:8" ht="42" customHeight="1" x14ac:dyDescent="0.25">
      <c r="A14" s="9" t="s">
        <v>109</v>
      </c>
      <c r="B14" s="10" t="s">
        <v>110</v>
      </c>
      <c r="C14" s="11" t="s">
        <v>111</v>
      </c>
      <c r="D14" s="11" t="s">
        <v>112</v>
      </c>
      <c r="E14" s="12" t="s">
        <v>113</v>
      </c>
      <c r="F14" s="12" t="s">
        <v>114</v>
      </c>
      <c r="G14" s="12" t="s">
        <v>115</v>
      </c>
      <c r="H14" s="11" t="s">
        <v>116</v>
      </c>
    </row>
    <row r="15" spans="1:8" ht="42" customHeight="1" x14ac:dyDescent="0.25">
      <c r="A15" s="5" t="s">
        <v>117</v>
      </c>
      <c r="B15" s="6" t="s">
        <v>118</v>
      </c>
      <c r="C15" s="7" t="s">
        <v>119</v>
      </c>
      <c r="D15" s="7" t="s">
        <v>120</v>
      </c>
      <c r="E15" s="8" t="s">
        <v>121</v>
      </c>
      <c r="F15" s="8" t="s">
        <v>122</v>
      </c>
      <c r="G15" s="8" t="s">
        <v>123</v>
      </c>
      <c r="H15" s="7" t="s">
        <v>124</v>
      </c>
    </row>
    <row r="16" spans="1:8" ht="42" customHeight="1" x14ac:dyDescent="0.25">
      <c r="A16" s="9" t="s">
        <v>125</v>
      </c>
      <c r="B16" s="10" t="s">
        <v>126</v>
      </c>
      <c r="C16" s="11" t="s">
        <v>127</v>
      </c>
      <c r="D16" s="11" t="s">
        <v>128</v>
      </c>
      <c r="E16" s="12" t="s">
        <v>129</v>
      </c>
      <c r="F16" s="12" t="s">
        <v>130</v>
      </c>
      <c r="G16" s="12" t="s">
        <v>131</v>
      </c>
      <c r="H16" s="11" t="s">
        <v>132</v>
      </c>
    </row>
    <row r="17" spans="1:8" ht="42" customHeight="1" x14ac:dyDescent="0.25">
      <c r="A17" s="5" t="s">
        <v>133</v>
      </c>
      <c r="B17" s="6" t="s">
        <v>134</v>
      </c>
      <c r="C17" s="7" t="s">
        <v>135</v>
      </c>
      <c r="D17" s="7" t="s">
        <v>136</v>
      </c>
      <c r="E17" s="8" t="s">
        <v>137</v>
      </c>
      <c r="F17" s="8" t="s">
        <v>138</v>
      </c>
      <c r="G17" s="8" t="s">
        <v>139</v>
      </c>
      <c r="H17" s="7" t="s">
        <v>140</v>
      </c>
    </row>
    <row r="18" spans="1:8" ht="42" customHeight="1" x14ac:dyDescent="0.25">
      <c r="A18" s="9" t="s">
        <v>141</v>
      </c>
      <c r="B18" s="10" t="s">
        <v>142</v>
      </c>
      <c r="C18" s="11" t="s">
        <v>143</v>
      </c>
      <c r="D18" s="11" t="s">
        <v>144</v>
      </c>
      <c r="E18" s="12" t="s">
        <v>145</v>
      </c>
      <c r="F18" s="12" t="s">
        <v>146</v>
      </c>
      <c r="G18" s="12" t="s">
        <v>147</v>
      </c>
      <c r="H18" s="11" t="s">
        <v>148</v>
      </c>
    </row>
    <row r="19" spans="1:8" ht="42" customHeight="1" x14ac:dyDescent="0.25">
      <c r="A19" s="5" t="s">
        <v>149</v>
      </c>
      <c r="B19" s="6" t="s">
        <v>150</v>
      </c>
      <c r="C19" s="7" t="s">
        <v>151</v>
      </c>
      <c r="D19" s="7" t="s">
        <v>152</v>
      </c>
      <c r="E19" s="8" t="s">
        <v>153</v>
      </c>
      <c r="F19" s="8" t="s">
        <v>154</v>
      </c>
      <c r="G19" s="8" t="s">
        <v>155</v>
      </c>
      <c r="H19" s="7" t="s">
        <v>156</v>
      </c>
    </row>
  </sheetData>
  <mergeCells count="2">
    <mergeCell ref="A1:H1"/>
    <mergeCell ref="A2:H2"/>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C63D9"/>
  </sheetPr>
  <dimension ref="A1:G49"/>
  <sheetViews>
    <sheetView workbookViewId="0">
      <pane ySplit="4" topLeftCell="A5" activePane="bottomLeft" state="frozen"/>
      <selection pane="bottomLeft"/>
    </sheetView>
  </sheetViews>
  <sheetFormatPr defaultRowHeight="15" x14ac:dyDescent="0.25"/>
  <cols>
    <col min="1" max="1" width="12" customWidth="1"/>
    <col min="2" max="2" width="22" customWidth="1"/>
    <col min="3" max="3" width="8" customWidth="1"/>
    <col min="4" max="4" width="65" customWidth="1"/>
    <col min="5" max="5" width="22" customWidth="1"/>
    <col min="6" max="6" width="25" customWidth="1"/>
    <col min="7" max="7" width="22" customWidth="1"/>
  </cols>
  <sheetData>
    <row r="1" spans="1:7" ht="27.95" customHeight="1" x14ac:dyDescent="0.25">
      <c r="A1" s="50" t="s">
        <v>157</v>
      </c>
      <c r="B1" s="50"/>
      <c r="C1" s="50"/>
      <c r="D1" s="50"/>
      <c r="E1" s="50"/>
      <c r="F1" s="50"/>
      <c r="G1" s="50"/>
    </row>
    <row r="2" spans="1:7" ht="18" customHeight="1" x14ac:dyDescent="0.25">
      <c r="A2" s="51" t="s">
        <v>158</v>
      </c>
      <c r="B2" s="51"/>
      <c r="C2" s="51"/>
      <c r="D2" s="51"/>
      <c r="E2" s="51"/>
      <c r="F2" s="51"/>
      <c r="G2" s="51"/>
    </row>
    <row r="4" spans="1:7" ht="26.1" customHeight="1" x14ac:dyDescent="0.25">
      <c r="A4" s="13" t="s">
        <v>30</v>
      </c>
      <c r="B4" s="13" t="s">
        <v>159</v>
      </c>
      <c r="C4" s="13" t="s">
        <v>160</v>
      </c>
      <c r="D4" s="13" t="s">
        <v>161</v>
      </c>
      <c r="E4" s="13" t="s">
        <v>162</v>
      </c>
      <c r="F4" s="13" t="s">
        <v>163</v>
      </c>
      <c r="G4" s="13" t="s">
        <v>164</v>
      </c>
    </row>
    <row r="5" spans="1:7" ht="26.1" customHeight="1" x14ac:dyDescent="0.25">
      <c r="A5" s="14" t="s">
        <v>165</v>
      </c>
      <c r="B5" s="7" t="s">
        <v>166</v>
      </c>
      <c r="C5" s="15">
        <v>1</v>
      </c>
      <c r="D5" s="7" t="s">
        <v>167</v>
      </c>
      <c r="E5" s="7" t="s">
        <v>168</v>
      </c>
      <c r="F5" s="7" t="s">
        <v>169</v>
      </c>
      <c r="G5" s="7" t="s">
        <v>170</v>
      </c>
    </row>
    <row r="6" spans="1:7" ht="26.1" customHeight="1" x14ac:dyDescent="0.25">
      <c r="A6" s="16" t="s">
        <v>171</v>
      </c>
      <c r="B6" s="11" t="s">
        <v>166</v>
      </c>
      <c r="C6" s="17">
        <v>2</v>
      </c>
      <c r="D6" s="11" t="s">
        <v>172</v>
      </c>
      <c r="E6" s="11" t="s">
        <v>168</v>
      </c>
      <c r="F6" s="11" t="s">
        <v>173</v>
      </c>
      <c r="G6" s="11" t="s">
        <v>170</v>
      </c>
    </row>
    <row r="7" spans="1:7" ht="26.1" customHeight="1" x14ac:dyDescent="0.25">
      <c r="A7" s="14" t="s">
        <v>174</v>
      </c>
      <c r="B7" s="7" t="s">
        <v>166</v>
      </c>
      <c r="C7" s="15">
        <v>3</v>
      </c>
      <c r="D7" s="7" t="s">
        <v>175</v>
      </c>
      <c r="E7" s="7" t="s">
        <v>168</v>
      </c>
      <c r="F7" s="7" t="s">
        <v>176</v>
      </c>
      <c r="G7" s="7" t="s">
        <v>170</v>
      </c>
    </row>
    <row r="8" spans="1:7" ht="26.1" customHeight="1" x14ac:dyDescent="0.25">
      <c r="A8" s="16" t="s">
        <v>177</v>
      </c>
      <c r="B8" s="11" t="s">
        <v>166</v>
      </c>
      <c r="C8" s="17">
        <v>4</v>
      </c>
      <c r="D8" s="11" t="s">
        <v>178</v>
      </c>
      <c r="E8" s="11" t="s">
        <v>168</v>
      </c>
      <c r="F8" s="11" t="s">
        <v>179</v>
      </c>
      <c r="G8" s="11" t="s">
        <v>170</v>
      </c>
    </row>
    <row r="9" spans="1:7" ht="26.1" customHeight="1" x14ac:dyDescent="0.25">
      <c r="A9" s="14" t="s">
        <v>180</v>
      </c>
      <c r="B9" s="7" t="s">
        <v>166</v>
      </c>
      <c r="C9" s="15">
        <v>5</v>
      </c>
      <c r="D9" s="7" t="s">
        <v>181</v>
      </c>
      <c r="E9" s="7" t="s">
        <v>168</v>
      </c>
      <c r="F9" s="7" t="s">
        <v>182</v>
      </c>
      <c r="G9" s="7" t="s">
        <v>170</v>
      </c>
    </row>
    <row r="10" spans="1:7" ht="26.1" customHeight="1" x14ac:dyDescent="0.25">
      <c r="A10" s="16" t="s">
        <v>183</v>
      </c>
      <c r="B10" s="11" t="s">
        <v>166</v>
      </c>
      <c r="C10" s="17">
        <v>6</v>
      </c>
      <c r="D10" s="11" t="s">
        <v>184</v>
      </c>
      <c r="E10" s="11" t="s">
        <v>168</v>
      </c>
      <c r="F10" s="11" t="s">
        <v>185</v>
      </c>
      <c r="G10" s="11" t="s">
        <v>170</v>
      </c>
    </row>
    <row r="11" spans="1:7" ht="26.1" customHeight="1" x14ac:dyDescent="0.25">
      <c r="A11" s="14" t="s">
        <v>186</v>
      </c>
      <c r="B11" s="7" t="s">
        <v>166</v>
      </c>
      <c r="C11" s="15">
        <v>7</v>
      </c>
      <c r="D11" s="7" t="s">
        <v>187</v>
      </c>
      <c r="E11" s="7" t="s">
        <v>168</v>
      </c>
      <c r="F11" s="7" t="s">
        <v>188</v>
      </c>
      <c r="G11" s="7" t="s">
        <v>170</v>
      </c>
    </row>
    <row r="12" spans="1:7" ht="26.1" customHeight="1" x14ac:dyDescent="0.25">
      <c r="A12" s="16" t="s">
        <v>189</v>
      </c>
      <c r="B12" s="11" t="s">
        <v>190</v>
      </c>
      <c r="C12" s="17">
        <v>1</v>
      </c>
      <c r="D12" s="11" t="s">
        <v>191</v>
      </c>
      <c r="E12" s="11" t="s">
        <v>192</v>
      </c>
      <c r="F12" s="11" t="s">
        <v>193</v>
      </c>
      <c r="G12" s="11" t="s">
        <v>170</v>
      </c>
    </row>
    <row r="13" spans="1:7" ht="26.1" customHeight="1" x14ac:dyDescent="0.25">
      <c r="A13" s="14" t="s">
        <v>194</v>
      </c>
      <c r="B13" s="7" t="s">
        <v>190</v>
      </c>
      <c r="C13" s="15">
        <v>2</v>
      </c>
      <c r="D13" s="7" t="s">
        <v>195</v>
      </c>
      <c r="E13" s="7" t="s">
        <v>192</v>
      </c>
      <c r="F13" s="7" t="s">
        <v>196</v>
      </c>
      <c r="G13" s="7" t="s">
        <v>170</v>
      </c>
    </row>
    <row r="14" spans="1:7" ht="26.1" customHeight="1" x14ac:dyDescent="0.25">
      <c r="A14" s="16" t="s">
        <v>197</v>
      </c>
      <c r="B14" s="11" t="s">
        <v>190</v>
      </c>
      <c r="C14" s="17">
        <v>3</v>
      </c>
      <c r="D14" s="11" t="s">
        <v>198</v>
      </c>
      <c r="E14" s="11" t="s">
        <v>192</v>
      </c>
      <c r="F14" s="11" t="s">
        <v>199</v>
      </c>
      <c r="G14" s="11" t="s">
        <v>170</v>
      </c>
    </row>
    <row r="15" spans="1:7" ht="26.1" customHeight="1" x14ac:dyDescent="0.25">
      <c r="A15" s="14" t="s">
        <v>200</v>
      </c>
      <c r="B15" s="7" t="s">
        <v>190</v>
      </c>
      <c r="C15" s="15">
        <v>4</v>
      </c>
      <c r="D15" s="7" t="s">
        <v>201</v>
      </c>
      <c r="E15" s="7" t="s">
        <v>192</v>
      </c>
      <c r="F15" s="7" t="s">
        <v>202</v>
      </c>
      <c r="G15" s="7" t="s">
        <v>170</v>
      </c>
    </row>
    <row r="16" spans="1:7" ht="26.1" customHeight="1" x14ac:dyDescent="0.25">
      <c r="A16" s="16" t="s">
        <v>203</v>
      </c>
      <c r="B16" s="11" t="s">
        <v>190</v>
      </c>
      <c r="C16" s="17">
        <v>5</v>
      </c>
      <c r="D16" s="11" t="s">
        <v>204</v>
      </c>
      <c r="E16" s="11" t="s">
        <v>192</v>
      </c>
      <c r="F16" s="11" t="s">
        <v>205</v>
      </c>
      <c r="G16" s="11" t="s">
        <v>170</v>
      </c>
    </row>
    <row r="17" spans="1:7" ht="26.1" customHeight="1" x14ac:dyDescent="0.25">
      <c r="A17" s="14" t="s">
        <v>206</v>
      </c>
      <c r="B17" s="7" t="s">
        <v>190</v>
      </c>
      <c r="C17" s="15">
        <v>6</v>
      </c>
      <c r="D17" s="7" t="s">
        <v>207</v>
      </c>
      <c r="E17" s="7" t="s">
        <v>192</v>
      </c>
      <c r="F17" s="7" t="s">
        <v>208</v>
      </c>
      <c r="G17" s="7" t="s">
        <v>170</v>
      </c>
    </row>
    <row r="18" spans="1:7" ht="26.1" customHeight="1" x14ac:dyDescent="0.25">
      <c r="A18" s="16" t="s">
        <v>209</v>
      </c>
      <c r="B18" s="11" t="s">
        <v>190</v>
      </c>
      <c r="C18" s="17">
        <v>7</v>
      </c>
      <c r="D18" s="11" t="s">
        <v>210</v>
      </c>
      <c r="E18" s="11" t="s">
        <v>192</v>
      </c>
      <c r="F18" s="11" t="s">
        <v>211</v>
      </c>
      <c r="G18" s="11" t="s">
        <v>170</v>
      </c>
    </row>
    <row r="19" spans="1:7" ht="26.1" customHeight="1" x14ac:dyDescent="0.25">
      <c r="A19" s="14" t="s">
        <v>212</v>
      </c>
      <c r="B19" s="7" t="s">
        <v>190</v>
      </c>
      <c r="C19" s="15">
        <v>8</v>
      </c>
      <c r="D19" s="7" t="s">
        <v>213</v>
      </c>
      <c r="E19" s="7" t="s">
        <v>192</v>
      </c>
      <c r="F19" s="7" t="s">
        <v>214</v>
      </c>
      <c r="G19" s="7" t="s">
        <v>170</v>
      </c>
    </row>
    <row r="20" spans="1:7" ht="26.1" customHeight="1" x14ac:dyDescent="0.25">
      <c r="A20" s="16" t="s">
        <v>215</v>
      </c>
      <c r="B20" s="11" t="s">
        <v>190</v>
      </c>
      <c r="C20" s="17">
        <v>9</v>
      </c>
      <c r="D20" s="11" t="s">
        <v>216</v>
      </c>
      <c r="E20" s="11" t="s">
        <v>192</v>
      </c>
      <c r="F20" s="11" t="s">
        <v>217</v>
      </c>
      <c r="G20" s="11" t="s">
        <v>170</v>
      </c>
    </row>
    <row r="21" spans="1:7" ht="26.1" customHeight="1" x14ac:dyDescent="0.25">
      <c r="A21" s="14" t="s">
        <v>218</v>
      </c>
      <c r="B21" s="7" t="s">
        <v>190</v>
      </c>
      <c r="C21" s="15">
        <v>10</v>
      </c>
      <c r="D21" s="7" t="s">
        <v>219</v>
      </c>
      <c r="E21" s="7" t="s">
        <v>192</v>
      </c>
      <c r="F21" s="7" t="s">
        <v>220</v>
      </c>
      <c r="G21" s="7" t="s">
        <v>170</v>
      </c>
    </row>
    <row r="22" spans="1:7" ht="26.1" customHeight="1" x14ac:dyDescent="0.25">
      <c r="A22" s="16" t="s">
        <v>221</v>
      </c>
      <c r="B22" s="11" t="s">
        <v>190</v>
      </c>
      <c r="C22" s="17">
        <v>11</v>
      </c>
      <c r="D22" s="11" t="s">
        <v>222</v>
      </c>
      <c r="E22" s="11" t="s">
        <v>192</v>
      </c>
      <c r="F22" s="11" t="s">
        <v>223</v>
      </c>
      <c r="G22" s="11" t="s">
        <v>170</v>
      </c>
    </row>
    <row r="23" spans="1:7" ht="26.1" customHeight="1" x14ac:dyDescent="0.25">
      <c r="A23" s="14" t="s">
        <v>224</v>
      </c>
      <c r="B23" s="7" t="s">
        <v>190</v>
      </c>
      <c r="C23" s="15">
        <v>12</v>
      </c>
      <c r="D23" s="7" t="s">
        <v>225</v>
      </c>
      <c r="E23" s="7" t="s">
        <v>192</v>
      </c>
      <c r="F23" s="7" t="s">
        <v>226</v>
      </c>
      <c r="G23" s="7" t="s">
        <v>170</v>
      </c>
    </row>
    <row r="24" spans="1:7" ht="26.1" customHeight="1" x14ac:dyDescent="0.25">
      <c r="A24" s="16" t="s">
        <v>227</v>
      </c>
      <c r="B24" s="11" t="s">
        <v>228</v>
      </c>
      <c r="C24" s="17">
        <v>1</v>
      </c>
      <c r="D24" s="11" t="s">
        <v>229</v>
      </c>
      <c r="E24" s="11" t="s">
        <v>230</v>
      </c>
      <c r="F24" s="11" t="s">
        <v>231</v>
      </c>
      <c r="G24" s="11" t="s">
        <v>170</v>
      </c>
    </row>
    <row r="25" spans="1:7" ht="26.1" customHeight="1" x14ac:dyDescent="0.25">
      <c r="A25" s="14" t="s">
        <v>232</v>
      </c>
      <c r="B25" s="7" t="s">
        <v>228</v>
      </c>
      <c r="C25" s="15">
        <v>2</v>
      </c>
      <c r="D25" s="7" t="s">
        <v>233</v>
      </c>
      <c r="E25" s="7" t="s">
        <v>230</v>
      </c>
      <c r="F25" s="7" t="s">
        <v>234</v>
      </c>
      <c r="G25" s="7" t="s">
        <v>170</v>
      </c>
    </row>
    <row r="26" spans="1:7" ht="26.1" customHeight="1" x14ac:dyDescent="0.25">
      <c r="A26" s="16" t="s">
        <v>235</v>
      </c>
      <c r="B26" s="11" t="s">
        <v>228</v>
      </c>
      <c r="C26" s="17">
        <v>3</v>
      </c>
      <c r="D26" s="11" t="s">
        <v>236</v>
      </c>
      <c r="E26" s="11" t="s">
        <v>230</v>
      </c>
      <c r="F26" s="11" t="s">
        <v>237</v>
      </c>
      <c r="G26" s="11" t="s">
        <v>170</v>
      </c>
    </row>
    <row r="27" spans="1:7" ht="26.1" customHeight="1" x14ac:dyDescent="0.25">
      <c r="A27" s="14" t="s">
        <v>238</v>
      </c>
      <c r="B27" s="7" t="s">
        <v>228</v>
      </c>
      <c r="C27" s="15">
        <v>4</v>
      </c>
      <c r="D27" s="7" t="s">
        <v>239</v>
      </c>
      <c r="E27" s="7" t="s">
        <v>230</v>
      </c>
      <c r="F27" s="7" t="s">
        <v>240</v>
      </c>
      <c r="G27" s="7" t="s">
        <v>170</v>
      </c>
    </row>
    <row r="28" spans="1:7" ht="26.1" customHeight="1" x14ac:dyDescent="0.25">
      <c r="A28" s="16" t="s">
        <v>241</v>
      </c>
      <c r="B28" s="11" t="s">
        <v>228</v>
      </c>
      <c r="C28" s="17">
        <v>5</v>
      </c>
      <c r="D28" s="11" t="s">
        <v>242</v>
      </c>
      <c r="E28" s="11" t="s">
        <v>230</v>
      </c>
      <c r="F28" s="11" t="s">
        <v>243</v>
      </c>
      <c r="G28" s="11" t="s">
        <v>170</v>
      </c>
    </row>
    <row r="29" spans="1:7" ht="26.1" customHeight="1" x14ac:dyDescent="0.25">
      <c r="A29" s="14" t="s">
        <v>244</v>
      </c>
      <c r="B29" s="7" t="s">
        <v>228</v>
      </c>
      <c r="C29" s="15">
        <v>6</v>
      </c>
      <c r="D29" s="7" t="s">
        <v>245</v>
      </c>
      <c r="E29" s="7" t="s">
        <v>230</v>
      </c>
      <c r="F29" s="7" t="s">
        <v>246</v>
      </c>
      <c r="G29" s="7" t="s">
        <v>170</v>
      </c>
    </row>
    <row r="30" spans="1:7" ht="26.1" customHeight="1" x14ac:dyDescent="0.25">
      <c r="A30" s="16" t="s">
        <v>247</v>
      </c>
      <c r="B30" s="11" t="s">
        <v>228</v>
      </c>
      <c r="C30" s="17">
        <v>7</v>
      </c>
      <c r="D30" s="11" t="s">
        <v>248</v>
      </c>
      <c r="E30" s="11" t="s">
        <v>230</v>
      </c>
      <c r="F30" s="11" t="s">
        <v>249</v>
      </c>
      <c r="G30" s="11" t="s">
        <v>170</v>
      </c>
    </row>
    <row r="31" spans="1:7" ht="26.1" customHeight="1" x14ac:dyDescent="0.25">
      <c r="A31" s="14" t="s">
        <v>250</v>
      </c>
      <c r="B31" s="7" t="s">
        <v>228</v>
      </c>
      <c r="C31" s="15">
        <v>8</v>
      </c>
      <c r="D31" s="7" t="s">
        <v>251</v>
      </c>
      <c r="E31" s="7" t="s">
        <v>230</v>
      </c>
      <c r="F31" s="7" t="s">
        <v>252</v>
      </c>
      <c r="G31" s="7" t="s">
        <v>170</v>
      </c>
    </row>
    <row r="32" spans="1:7" ht="26.1" customHeight="1" x14ac:dyDescent="0.25">
      <c r="A32" s="16" t="s">
        <v>253</v>
      </c>
      <c r="B32" s="11" t="s">
        <v>228</v>
      </c>
      <c r="C32" s="17">
        <v>9</v>
      </c>
      <c r="D32" s="11" t="s">
        <v>254</v>
      </c>
      <c r="E32" s="11" t="s">
        <v>230</v>
      </c>
      <c r="F32" s="11" t="s">
        <v>255</v>
      </c>
      <c r="G32" s="11" t="s">
        <v>170</v>
      </c>
    </row>
    <row r="33" spans="1:7" ht="26.1" customHeight="1" x14ac:dyDescent="0.25">
      <c r="A33" s="14" t="s">
        <v>256</v>
      </c>
      <c r="B33" s="7" t="s">
        <v>228</v>
      </c>
      <c r="C33" s="15">
        <v>10</v>
      </c>
      <c r="D33" s="7" t="s">
        <v>257</v>
      </c>
      <c r="E33" s="7" t="s">
        <v>230</v>
      </c>
      <c r="F33" s="7" t="s">
        <v>258</v>
      </c>
      <c r="G33" s="7" t="s">
        <v>170</v>
      </c>
    </row>
    <row r="34" spans="1:7" ht="26.1" customHeight="1" x14ac:dyDescent="0.25">
      <c r="A34" s="16" t="s">
        <v>259</v>
      </c>
      <c r="B34" s="11" t="s">
        <v>228</v>
      </c>
      <c r="C34" s="17">
        <v>11</v>
      </c>
      <c r="D34" s="11" t="s">
        <v>260</v>
      </c>
      <c r="E34" s="11" t="s">
        <v>230</v>
      </c>
      <c r="F34" s="11" t="s">
        <v>261</v>
      </c>
      <c r="G34" s="11" t="s">
        <v>170</v>
      </c>
    </row>
    <row r="35" spans="1:7" ht="26.1" customHeight="1" x14ac:dyDescent="0.25">
      <c r="A35" s="14" t="s">
        <v>262</v>
      </c>
      <c r="B35" s="7" t="s">
        <v>228</v>
      </c>
      <c r="C35" s="15">
        <v>12</v>
      </c>
      <c r="D35" s="7" t="s">
        <v>263</v>
      </c>
      <c r="E35" s="7" t="s">
        <v>230</v>
      </c>
      <c r="F35" s="7" t="s">
        <v>264</v>
      </c>
      <c r="G35" s="7" t="s">
        <v>170</v>
      </c>
    </row>
    <row r="36" spans="1:7" ht="26.1" customHeight="1" x14ac:dyDescent="0.25">
      <c r="A36" s="16" t="s">
        <v>265</v>
      </c>
      <c r="B36" s="11" t="s">
        <v>228</v>
      </c>
      <c r="C36" s="17">
        <v>13</v>
      </c>
      <c r="D36" s="11" t="s">
        <v>266</v>
      </c>
      <c r="E36" s="11" t="s">
        <v>230</v>
      </c>
      <c r="F36" s="11" t="s">
        <v>267</v>
      </c>
      <c r="G36" s="11" t="s">
        <v>170</v>
      </c>
    </row>
    <row r="37" spans="1:7" ht="26.1" customHeight="1" x14ac:dyDescent="0.25">
      <c r="A37" s="14" t="s">
        <v>268</v>
      </c>
      <c r="B37" s="7" t="s">
        <v>228</v>
      </c>
      <c r="C37" s="15">
        <v>14</v>
      </c>
      <c r="D37" s="7" t="s">
        <v>269</v>
      </c>
      <c r="E37" s="7" t="s">
        <v>230</v>
      </c>
      <c r="F37" s="7" t="s">
        <v>270</v>
      </c>
      <c r="G37" s="7" t="s">
        <v>170</v>
      </c>
    </row>
    <row r="38" spans="1:7" ht="26.1" customHeight="1" x14ac:dyDescent="0.25">
      <c r="A38" s="16" t="s">
        <v>271</v>
      </c>
      <c r="B38" s="11" t="s">
        <v>228</v>
      </c>
      <c r="C38" s="17">
        <v>15</v>
      </c>
      <c r="D38" s="11" t="s">
        <v>272</v>
      </c>
      <c r="E38" s="11" t="s">
        <v>230</v>
      </c>
      <c r="F38" s="11" t="s">
        <v>273</v>
      </c>
      <c r="G38" s="11" t="s">
        <v>170</v>
      </c>
    </row>
    <row r="39" spans="1:7" ht="26.1" customHeight="1" x14ac:dyDescent="0.25">
      <c r="A39" s="14" t="s">
        <v>274</v>
      </c>
      <c r="B39" s="7" t="s">
        <v>228</v>
      </c>
      <c r="C39" s="15">
        <v>16</v>
      </c>
      <c r="D39" s="7" t="s">
        <v>275</v>
      </c>
      <c r="E39" s="7" t="s">
        <v>230</v>
      </c>
      <c r="F39" s="7" t="s">
        <v>276</v>
      </c>
      <c r="G39" s="7" t="s">
        <v>170</v>
      </c>
    </row>
    <row r="40" spans="1:7" ht="26.1" customHeight="1" x14ac:dyDescent="0.25">
      <c r="A40" s="16" t="s">
        <v>277</v>
      </c>
      <c r="B40" s="11" t="s">
        <v>278</v>
      </c>
      <c r="C40" s="17">
        <v>1</v>
      </c>
      <c r="D40" s="11" t="s">
        <v>279</v>
      </c>
      <c r="E40" s="11" t="s">
        <v>168</v>
      </c>
      <c r="F40" s="11" t="s">
        <v>280</v>
      </c>
      <c r="G40" s="11" t="s">
        <v>170</v>
      </c>
    </row>
    <row r="41" spans="1:7" ht="26.1" customHeight="1" x14ac:dyDescent="0.25">
      <c r="A41" s="14" t="s">
        <v>281</v>
      </c>
      <c r="B41" s="7" t="s">
        <v>278</v>
      </c>
      <c r="C41" s="15">
        <v>2</v>
      </c>
      <c r="D41" s="7" t="s">
        <v>282</v>
      </c>
      <c r="E41" s="7" t="s">
        <v>168</v>
      </c>
      <c r="F41" s="7" t="s">
        <v>283</v>
      </c>
      <c r="G41" s="7" t="s">
        <v>170</v>
      </c>
    </row>
    <row r="42" spans="1:7" ht="26.1" customHeight="1" x14ac:dyDescent="0.25">
      <c r="A42" s="16" t="s">
        <v>284</v>
      </c>
      <c r="B42" s="11" t="s">
        <v>278</v>
      </c>
      <c r="C42" s="17">
        <v>3</v>
      </c>
      <c r="D42" s="11" t="s">
        <v>285</v>
      </c>
      <c r="E42" s="11" t="s">
        <v>168</v>
      </c>
      <c r="F42" s="11" t="s">
        <v>286</v>
      </c>
      <c r="G42" s="11" t="s">
        <v>170</v>
      </c>
    </row>
    <row r="43" spans="1:7" ht="26.1" customHeight="1" x14ac:dyDescent="0.25">
      <c r="A43" s="14" t="s">
        <v>287</v>
      </c>
      <c r="B43" s="7" t="s">
        <v>278</v>
      </c>
      <c r="C43" s="15">
        <v>4</v>
      </c>
      <c r="D43" s="7" t="s">
        <v>288</v>
      </c>
      <c r="E43" s="7" t="s">
        <v>168</v>
      </c>
      <c r="F43" s="7" t="s">
        <v>289</v>
      </c>
      <c r="G43" s="7" t="s">
        <v>170</v>
      </c>
    </row>
    <row r="44" spans="1:7" ht="26.1" customHeight="1" x14ac:dyDescent="0.25">
      <c r="A44" s="16" t="s">
        <v>290</v>
      </c>
      <c r="B44" s="11" t="s">
        <v>278</v>
      </c>
      <c r="C44" s="17">
        <v>5</v>
      </c>
      <c r="D44" s="11" t="s">
        <v>291</v>
      </c>
      <c r="E44" s="11" t="s">
        <v>168</v>
      </c>
      <c r="F44" s="11" t="s">
        <v>292</v>
      </c>
      <c r="G44" s="11" t="s">
        <v>170</v>
      </c>
    </row>
    <row r="45" spans="1:7" ht="26.1" customHeight="1" x14ac:dyDescent="0.25">
      <c r="A45" s="14" t="s">
        <v>293</v>
      </c>
      <c r="B45" s="7" t="s">
        <v>278</v>
      </c>
      <c r="C45" s="15">
        <v>6</v>
      </c>
      <c r="D45" s="7" t="s">
        <v>294</v>
      </c>
      <c r="E45" s="7" t="s">
        <v>168</v>
      </c>
      <c r="F45" s="7" t="s">
        <v>295</v>
      </c>
      <c r="G45" s="7" t="s">
        <v>170</v>
      </c>
    </row>
    <row r="46" spans="1:7" ht="26.1" customHeight="1" x14ac:dyDescent="0.25">
      <c r="A46" s="16" t="s">
        <v>296</v>
      </c>
      <c r="B46" s="11" t="s">
        <v>278</v>
      </c>
      <c r="C46" s="17">
        <v>7</v>
      </c>
      <c r="D46" s="11" t="s">
        <v>297</v>
      </c>
      <c r="E46" s="11" t="s">
        <v>168</v>
      </c>
      <c r="F46" s="11" t="s">
        <v>298</v>
      </c>
      <c r="G46" s="11" t="s">
        <v>170</v>
      </c>
    </row>
    <row r="47" spans="1:7" ht="26.1" customHeight="1" x14ac:dyDescent="0.25">
      <c r="A47" s="14" t="s">
        <v>299</v>
      </c>
      <c r="B47" s="7" t="s">
        <v>278</v>
      </c>
      <c r="C47" s="15">
        <v>8</v>
      </c>
      <c r="D47" s="7" t="s">
        <v>300</v>
      </c>
      <c r="E47" s="7" t="s">
        <v>168</v>
      </c>
      <c r="F47" s="7" t="s">
        <v>301</v>
      </c>
      <c r="G47" s="7" t="s">
        <v>170</v>
      </c>
    </row>
    <row r="48" spans="1:7" ht="26.1" customHeight="1" x14ac:dyDescent="0.25">
      <c r="A48" s="16" t="s">
        <v>302</v>
      </c>
      <c r="B48" s="11" t="s">
        <v>278</v>
      </c>
      <c r="C48" s="17">
        <v>9</v>
      </c>
      <c r="D48" s="11" t="s">
        <v>303</v>
      </c>
      <c r="E48" s="11" t="s">
        <v>168</v>
      </c>
      <c r="F48" s="11" t="s">
        <v>304</v>
      </c>
      <c r="G48" s="11" t="s">
        <v>170</v>
      </c>
    </row>
    <row r="49" spans="1:7" ht="26.1" customHeight="1" x14ac:dyDescent="0.25">
      <c r="A49" s="14" t="s">
        <v>305</v>
      </c>
      <c r="B49" s="7" t="s">
        <v>278</v>
      </c>
      <c r="C49" s="15">
        <v>10</v>
      </c>
      <c r="D49" s="7" t="s">
        <v>306</v>
      </c>
      <c r="E49" s="7" t="s">
        <v>168</v>
      </c>
      <c r="F49" s="7" t="s">
        <v>307</v>
      </c>
      <c r="G49" s="7" t="s">
        <v>170</v>
      </c>
    </row>
  </sheetData>
  <mergeCells count="2">
    <mergeCell ref="A1:G1"/>
    <mergeCell ref="A2:G2"/>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F8F86"/>
  </sheetPr>
  <dimension ref="A1:N35"/>
  <sheetViews>
    <sheetView workbookViewId="0">
      <pane xSplit="2" ySplit="4" topLeftCell="C5" activePane="bottomRight" state="frozen"/>
      <selection pane="topRight"/>
      <selection pane="bottomLeft"/>
      <selection pane="bottomRight" activeCell="C20" sqref="C20"/>
    </sheetView>
  </sheetViews>
  <sheetFormatPr defaultRowHeight="15" x14ac:dyDescent="0.25"/>
  <cols>
    <col min="1" max="1" width="14" customWidth="1"/>
    <col min="2" max="2" width="18" customWidth="1"/>
    <col min="3" max="9" width="10" customWidth="1"/>
    <col min="10" max="14" width="14" customWidth="1"/>
  </cols>
  <sheetData>
    <row r="1" spans="1:14" ht="27.95" customHeight="1" x14ac:dyDescent="0.25">
      <c r="A1" s="50" t="s">
        <v>308</v>
      </c>
      <c r="B1" s="50"/>
      <c r="C1" s="50"/>
      <c r="D1" s="50"/>
      <c r="E1" s="50"/>
      <c r="F1" s="50"/>
      <c r="G1" s="50"/>
      <c r="H1" s="50"/>
      <c r="I1" s="50"/>
      <c r="J1" s="50"/>
      <c r="K1" s="50"/>
      <c r="L1" s="50"/>
      <c r="M1" s="50"/>
      <c r="N1" s="50"/>
    </row>
    <row r="2" spans="1:14" ht="18" customHeight="1" x14ac:dyDescent="0.25">
      <c r="A2" s="51" t="s">
        <v>309</v>
      </c>
      <c r="B2" s="51"/>
      <c r="C2" s="51"/>
      <c r="D2" s="51"/>
      <c r="E2" s="51"/>
      <c r="F2" s="51"/>
      <c r="G2" s="51"/>
      <c r="H2" s="51"/>
      <c r="I2" s="51"/>
      <c r="J2" s="51"/>
      <c r="K2" s="51"/>
      <c r="L2" s="51"/>
      <c r="M2" s="51"/>
      <c r="N2" s="51"/>
    </row>
    <row r="4" spans="1:14" ht="32.1" customHeight="1" x14ac:dyDescent="0.25">
      <c r="A4" s="18" t="s">
        <v>310</v>
      </c>
      <c r="B4" s="18" t="s">
        <v>311</v>
      </c>
      <c r="C4" s="18" t="s">
        <v>312</v>
      </c>
      <c r="D4" s="18" t="s">
        <v>313</v>
      </c>
      <c r="E4" s="18" t="s">
        <v>314</v>
      </c>
      <c r="F4" s="18" t="s">
        <v>315</v>
      </c>
      <c r="G4" s="18" t="s">
        <v>316</v>
      </c>
      <c r="H4" s="18" t="s">
        <v>317</v>
      </c>
      <c r="I4" s="18" t="s">
        <v>318</v>
      </c>
      <c r="J4" s="18" t="s">
        <v>319</v>
      </c>
      <c r="K4" s="18" t="s">
        <v>320</v>
      </c>
      <c r="L4" s="18" t="s">
        <v>321</v>
      </c>
      <c r="M4" s="18" t="s">
        <v>322</v>
      </c>
      <c r="N4" s="18" t="s">
        <v>323</v>
      </c>
    </row>
    <row r="5" spans="1:14" ht="20.100000000000001" customHeight="1" x14ac:dyDescent="0.25">
      <c r="A5" s="19" t="s">
        <v>324</v>
      </c>
      <c r="B5" s="19" t="s">
        <v>325</v>
      </c>
      <c r="C5" s="15">
        <v>6</v>
      </c>
      <c r="D5" s="15">
        <v>5</v>
      </c>
      <c r="E5" s="15">
        <v>5</v>
      </c>
      <c r="F5" s="15">
        <v>4</v>
      </c>
      <c r="G5" s="15">
        <v>6</v>
      </c>
      <c r="H5" s="15">
        <v>6</v>
      </c>
      <c r="I5" s="15">
        <v>5</v>
      </c>
      <c r="J5" s="20">
        <f t="shared" ref="J5:J16" si="0">AVERAGE(C5:I5)</f>
        <v>5.2857142857142856</v>
      </c>
      <c r="K5" s="21">
        <f t="shared" ref="K5:K16" si="1">SUM(C5:I5)</f>
        <v>37</v>
      </c>
      <c r="L5" s="22">
        <v>5.2</v>
      </c>
      <c r="M5" s="22">
        <v>4.8</v>
      </c>
      <c r="N5" s="22">
        <v>5</v>
      </c>
    </row>
    <row r="6" spans="1:14" ht="20.100000000000001" customHeight="1" x14ac:dyDescent="0.25">
      <c r="A6" s="23" t="s">
        <v>326</v>
      </c>
      <c r="B6" s="23" t="s">
        <v>327</v>
      </c>
      <c r="C6" s="17">
        <v>7</v>
      </c>
      <c r="D6" s="17">
        <v>6</v>
      </c>
      <c r="E6" s="17">
        <v>6</v>
      </c>
      <c r="F6" s="17">
        <v>6</v>
      </c>
      <c r="G6" s="17">
        <v>7</v>
      </c>
      <c r="H6" s="17">
        <v>7</v>
      </c>
      <c r="I6" s="17">
        <v>6</v>
      </c>
      <c r="J6" s="20">
        <f t="shared" si="0"/>
        <v>6.4285714285714288</v>
      </c>
      <c r="K6" s="21">
        <f t="shared" si="1"/>
        <v>45</v>
      </c>
      <c r="L6" s="24">
        <v>6</v>
      </c>
      <c r="M6" s="24">
        <v>5.8</v>
      </c>
      <c r="N6" s="24">
        <v>5.5</v>
      </c>
    </row>
    <row r="7" spans="1:14" ht="20.100000000000001" customHeight="1" x14ac:dyDescent="0.25">
      <c r="A7" s="19" t="s">
        <v>328</v>
      </c>
      <c r="B7" s="19" t="s">
        <v>325</v>
      </c>
      <c r="C7" s="15">
        <v>4</v>
      </c>
      <c r="D7" s="15">
        <v>4</v>
      </c>
      <c r="E7" s="15">
        <v>3</v>
      </c>
      <c r="F7" s="15">
        <v>2</v>
      </c>
      <c r="G7" s="15">
        <v>5</v>
      </c>
      <c r="H7" s="15">
        <v>5</v>
      </c>
      <c r="I7" s="15">
        <v>3</v>
      </c>
      <c r="J7" s="20">
        <f t="shared" si="0"/>
        <v>3.7142857142857144</v>
      </c>
      <c r="K7" s="21">
        <f t="shared" si="1"/>
        <v>26</v>
      </c>
      <c r="L7" s="22">
        <v>4.0999999999999996</v>
      </c>
      <c r="M7" s="22">
        <v>3.8</v>
      </c>
      <c r="N7" s="22">
        <v>4.2</v>
      </c>
    </row>
    <row r="8" spans="1:14" ht="20.100000000000001" customHeight="1" x14ac:dyDescent="0.25">
      <c r="A8" s="23" t="s">
        <v>329</v>
      </c>
      <c r="B8" s="23" t="s">
        <v>327</v>
      </c>
      <c r="C8" s="17">
        <v>5</v>
      </c>
      <c r="D8" s="17">
        <v>5</v>
      </c>
      <c r="E8" s="17">
        <v>4</v>
      </c>
      <c r="F8" s="17">
        <v>5</v>
      </c>
      <c r="G8" s="17">
        <v>6</v>
      </c>
      <c r="H8" s="17">
        <v>6</v>
      </c>
      <c r="I8" s="17">
        <v>4</v>
      </c>
      <c r="J8" s="20">
        <f t="shared" si="0"/>
        <v>5</v>
      </c>
      <c r="K8" s="21">
        <f t="shared" si="1"/>
        <v>35</v>
      </c>
      <c r="L8" s="24">
        <v>5</v>
      </c>
      <c r="M8" s="24">
        <v>4.7</v>
      </c>
      <c r="N8" s="24">
        <v>4.9000000000000004</v>
      </c>
    </row>
    <row r="9" spans="1:14" ht="20.100000000000001" customHeight="1" x14ac:dyDescent="0.25">
      <c r="A9" s="19" t="s">
        <v>330</v>
      </c>
      <c r="B9" s="19" t="s">
        <v>325</v>
      </c>
      <c r="C9" s="15">
        <v>6</v>
      </c>
      <c r="D9" s="15">
        <v>6</v>
      </c>
      <c r="E9" s="15">
        <v>5</v>
      </c>
      <c r="F9" s="15">
        <v>5</v>
      </c>
      <c r="G9" s="15">
        <v>6</v>
      </c>
      <c r="H9" s="15">
        <v>7</v>
      </c>
      <c r="I9" s="15">
        <v>6</v>
      </c>
      <c r="J9" s="20">
        <f t="shared" si="0"/>
        <v>5.8571428571428568</v>
      </c>
      <c r="K9" s="21">
        <f t="shared" si="1"/>
        <v>41</v>
      </c>
      <c r="L9" s="22">
        <v>5.5</v>
      </c>
      <c r="M9" s="22">
        <v>5.2</v>
      </c>
      <c r="N9" s="22">
        <v>5.6</v>
      </c>
    </row>
    <row r="10" spans="1:14" ht="20.100000000000001" customHeight="1" x14ac:dyDescent="0.25">
      <c r="A10" s="23" t="s">
        <v>331</v>
      </c>
      <c r="B10" s="23" t="s">
        <v>325</v>
      </c>
      <c r="C10" s="17">
        <v>5</v>
      </c>
      <c r="D10" s="17">
        <v>4</v>
      </c>
      <c r="E10" s="17">
        <v>4</v>
      </c>
      <c r="F10" s="17">
        <v>3</v>
      </c>
      <c r="G10" s="17">
        <v>5</v>
      </c>
      <c r="H10" s="17">
        <v>6</v>
      </c>
      <c r="I10" s="17">
        <v>4</v>
      </c>
      <c r="J10" s="20">
        <f t="shared" si="0"/>
        <v>4.4285714285714288</v>
      </c>
      <c r="K10" s="21">
        <f t="shared" si="1"/>
        <v>31</v>
      </c>
      <c r="L10" s="24">
        <v>4.5999999999999996</v>
      </c>
      <c r="M10" s="24">
        <v>4.3</v>
      </c>
      <c r="N10" s="24">
        <v>4.5</v>
      </c>
    </row>
    <row r="11" spans="1:14" ht="20.100000000000001" customHeight="1" x14ac:dyDescent="0.25">
      <c r="A11" s="19" t="s">
        <v>332</v>
      </c>
      <c r="B11" s="19" t="s">
        <v>327</v>
      </c>
      <c r="C11" s="15">
        <v>7</v>
      </c>
      <c r="D11" s="15">
        <v>7</v>
      </c>
      <c r="E11" s="15">
        <v>6</v>
      </c>
      <c r="F11" s="15">
        <v>6</v>
      </c>
      <c r="G11" s="15">
        <v>7</v>
      </c>
      <c r="H11" s="15">
        <v>7</v>
      </c>
      <c r="I11" s="15">
        <v>7</v>
      </c>
      <c r="J11" s="20">
        <f t="shared" si="0"/>
        <v>6.7142857142857144</v>
      </c>
      <c r="K11" s="21">
        <f t="shared" si="1"/>
        <v>47</v>
      </c>
      <c r="L11" s="22">
        <v>6.4</v>
      </c>
      <c r="M11" s="22">
        <v>6.2</v>
      </c>
      <c r="N11" s="22">
        <v>5.8</v>
      </c>
    </row>
    <row r="12" spans="1:14" ht="20.100000000000001" customHeight="1" x14ac:dyDescent="0.25">
      <c r="A12" s="23" t="s">
        <v>333</v>
      </c>
      <c r="B12" s="23" t="s">
        <v>325</v>
      </c>
      <c r="C12" s="17">
        <v>3</v>
      </c>
      <c r="D12" s="17">
        <v>3</v>
      </c>
      <c r="E12" s="17">
        <v>2</v>
      </c>
      <c r="F12" s="17">
        <v>2</v>
      </c>
      <c r="G12" s="17">
        <v>4</v>
      </c>
      <c r="H12" s="17">
        <v>4</v>
      </c>
      <c r="I12" s="17">
        <v>2</v>
      </c>
      <c r="J12" s="20">
        <f t="shared" si="0"/>
        <v>2.8571428571428572</v>
      </c>
      <c r="K12" s="21">
        <f t="shared" si="1"/>
        <v>20</v>
      </c>
      <c r="L12" s="24">
        <v>3.5</v>
      </c>
      <c r="M12" s="24">
        <v>3.2</v>
      </c>
      <c r="N12" s="24">
        <v>3.8</v>
      </c>
    </row>
    <row r="13" spans="1:14" ht="20.100000000000001" customHeight="1" x14ac:dyDescent="0.25">
      <c r="A13" s="19" t="s">
        <v>334</v>
      </c>
      <c r="B13" s="19" t="s">
        <v>327</v>
      </c>
      <c r="C13" s="15">
        <v>6</v>
      </c>
      <c r="D13" s="15">
        <v>5</v>
      </c>
      <c r="E13" s="15">
        <v>5</v>
      </c>
      <c r="F13" s="15">
        <v>4</v>
      </c>
      <c r="G13" s="15">
        <v>6</v>
      </c>
      <c r="H13" s="15">
        <v>6</v>
      </c>
      <c r="I13" s="15">
        <v>5</v>
      </c>
      <c r="J13" s="20">
        <f t="shared" si="0"/>
        <v>5.2857142857142856</v>
      </c>
      <c r="K13" s="21">
        <f t="shared" si="1"/>
        <v>37</v>
      </c>
      <c r="L13" s="22">
        <v>5.0999999999999996</v>
      </c>
      <c r="M13" s="22">
        <v>4.9000000000000004</v>
      </c>
      <c r="N13" s="22">
        <v>5.2</v>
      </c>
    </row>
    <row r="14" spans="1:14" ht="20.100000000000001" customHeight="1" x14ac:dyDescent="0.25">
      <c r="A14" s="23" t="s">
        <v>335</v>
      </c>
      <c r="B14" s="23" t="s">
        <v>325</v>
      </c>
      <c r="C14" s="17">
        <v>5</v>
      </c>
      <c r="D14" s="17">
        <v>5</v>
      </c>
      <c r="E14" s="17">
        <v>4</v>
      </c>
      <c r="F14" s="17">
        <v>4</v>
      </c>
      <c r="G14" s="17">
        <v>5</v>
      </c>
      <c r="H14" s="17">
        <v>5</v>
      </c>
      <c r="I14" s="17">
        <v>4</v>
      </c>
      <c r="J14" s="20">
        <f t="shared" si="0"/>
        <v>4.5714285714285712</v>
      </c>
      <c r="K14" s="21">
        <f t="shared" si="1"/>
        <v>32</v>
      </c>
      <c r="L14" s="24">
        <v>4.8</v>
      </c>
      <c r="M14" s="24">
        <v>4.5</v>
      </c>
      <c r="N14" s="24">
        <v>4.7</v>
      </c>
    </row>
    <row r="15" spans="1:14" ht="20.100000000000001" customHeight="1" x14ac:dyDescent="0.25">
      <c r="A15" s="19" t="s">
        <v>336</v>
      </c>
      <c r="B15" s="19" t="s">
        <v>327</v>
      </c>
      <c r="C15" s="15">
        <v>4</v>
      </c>
      <c r="D15" s="15">
        <v>4</v>
      </c>
      <c r="E15" s="15">
        <v>4</v>
      </c>
      <c r="F15" s="15">
        <v>3</v>
      </c>
      <c r="G15" s="15">
        <v>5</v>
      </c>
      <c r="H15" s="15">
        <v>5</v>
      </c>
      <c r="I15" s="15">
        <v>3</v>
      </c>
      <c r="J15" s="20">
        <f t="shared" si="0"/>
        <v>4</v>
      </c>
      <c r="K15" s="21">
        <f t="shared" si="1"/>
        <v>28</v>
      </c>
      <c r="L15" s="22">
        <v>4.2</v>
      </c>
      <c r="M15" s="22">
        <v>4</v>
      </c>
      <c r="N15" s="22">
        <v>4.0999999999999996</v>
      </c>
    </row>
    <row r="16" spans="1:14" ht="20.100000000000001" customHeight="1" x14ac:dyDescent="0.25">
      <c r="A16" s="23" t="s">
        <v>337</v>
      </c>
      <c r="B16" s="23" t="s">
        <v>325</v>
      </c>
      <c r="C16" s="17">
        <v>6</v>
      </c>
      <c r="D16" s="17">
        <v>6</v>
      </c>
      <c r="E16" s="17">
        <v>5</v>
      </c>
      <c r="F16" s="17">
        <v>5</v>
      </c>
      <c r="G16" s="17">
        <v>6</v>
      </c>
      <c r="H16" s="17">
        <v>6</v>
      </c>
      <c r="I16" s="17">
        <v>5</v>
      </c>
      <c r="J16" s="20">
        <f t="shared" si="0"/>
        <v>5.5714285714285712</v>
      </c>
      <c r="K16" s="21">
        <f t="shared" si="1"/>
        <v>39</v>
      </c>
      <c r="L16" s="24">
        <v>5.4</v>
      </c>
      <c r="M16" s="24">
        <v>5.0999999999999996</v>
      </c>
      <c r="N16" s="24">
        <v>5.3</v>
      </c>
    </row>
    <row r="18" spans="1:14" ht="21.95" customHeight="1" x14ac:dyDescent="0.25">
      <c r="A18" s="52" t="s">
        <v>338</v>
      </c>
      <c r="B18" s="52"/>
      <c r="C18" s="25">
        <f t="shared" ref="C18:N18" si="2">AVERAGE(C5:C16)</f>
        <v>5.333333333333333</v>
      </c>
      <c r="D18" s="25">
        <f t="shared" si="2"/>
        <v>5</v>
      </c>
      <c r="E18" s="25">
        <f t="shared" si="2"/>
        <v>4.416666666666667</v>
      </c>
      <c r="F18" s="25">
        <f t="shared" si="2"/>
        <v>4.083333333333333</v>
      </c>
      <c r="G18" s="25">
        <f t="shared" si="2"/>
        <v>5.666666666666667</v>
      </c>
      <c r="H18" s="25">
        <f t="shared" si="2"/>
        <v>5.833333333333333</v>
      </c>
      <c r="I18" s="25">
        <f t="shared" si="2"/>
        <v>4.5</v>
      </c>
      <c r="J18" s="25">
        <f t="shared" si="2"/>
        <v>4.9761904761904754</v>
      </c>
      <c r="K18" s="25">
        <f t="shared" si="2"/>
        <v>34.833333333333336</v>
      </c>
      <c r="L18" s="25">
        <f t="shared" si="2"/>
        <v>4.9833333333333334</v>
      </c>
      <c r="M18" s="25">
        <f t="shared" si="2"/>
        <v>4.708333333333333</v>
      </c>
      <c r="N18" s="25">
        <f t="shared" si="2"/>
        <v>4.8833333333333337</v>
      </c>
    </row>
    <row r="19" spans="1:14" ht="21.95" customHeight="1" x14ac:dyDescent="0.25">
      <c r="A19" s="53" t="s">
        <v>339</v>
      </c>
      <c r="B19" s="53"/>
      <c r="C19" s="26">
        <f t="shared" ref="C19:N19" si="3">MEDIAN(C5:C16)</f>
        <v>5.5</v>
      </c>
      <c r="D19" s="26">
        <f t="shared" si="3"/>
        <v>5</v>
      </c>
      <c r="E19" s="26">
        <f t="shared" si="3"/>
        <v>4.5</v>
      </c>
      <c r="F19" s="26">
        <f t="shared" si="3"/>
        <v>4</v>
      </c>
      <c r="G19" s="26">
        <f t="shared" si="3"/>
        <v>6</v>
      </c>
      <c r="H19" s="26">
        <f t="shared" si="3"/>
        <v>6</v>
      </c>
      <c r="I19" s="26">
        <f t="shared" si="3"/>
        <v>4.5</v>
      </c>
      <c r="J19" s="26">
        <f t="shared" si="3"/>
        <v>5.1428571428571423</v>
      </c>
      <c r="K19" s="26">
        <f t="shared" si="3"/>
        <v>36</v>
      </c>
      <c r="L19" s="26">
        <f t="shared" si="3"/>
        <v>5.05</v>
      </c>
      <c r="M19" s="26">
        <f t="shared" si="3"/>
        <v>4.75</v>
      </c>
      <c r="N19" s="26">
        <f t="shared" si="3"/>
        <v>4.95</v>
      </c>
    </row>
    <row r="20" spans="1:14" ht="21.95" customHeight="1" x14ac:dyDescent="0.25">
      <c r="A20" s="53" t="s">
        <v>340</v>
      </c>
      <c r="B20" s="53"/>
      <c r="C20" s="27" t="e">
        <f t="shared" ref="C20:N20" ca="1" si="4">_xludf.STDEV.S(C5:C16)</f>
        <v>#NAME?</v>
      </c>
      <c r="D20" s="27" t="e">
        <f t="shared" ca="1" si="4"/>
        <v>#NAME?</v>
      </c>
      <c r="E20" s="27" t="e">
        <f t="shared" ca="1" si="4"/>
        <v>#NAME?</v>
      </c>
      <c r="F20" s="27" t="e">
        <f t="shared" ca="1" si="4"/>
        <v>#NAME?</v>
      </c>
      <c r="G20" s="27" t="e">
        <f t="shared" ca="1" si="4"/>
        <v>#NAME?</v>
      </c>
      <c r="H20" s="27" t="e">
        <f t="shared" ca="1" si="4"/>
        <v>#NAME?</v>
      </c>
      <c r="I20" s="27" t="e">
        <f t="shared" ca="1" si="4"/>
        <v>#NAME?</v>
      </c>
      <c r="J20" s="27" t="e">
        <f t="shared" ca="1" si="4"/>
        <v>#NAME?</v>
      </c>
      <c r="K20" s="27" t="e">
        <f t="shared" ca="1" si="4"/>
        <v>#NAME?</v>
      </c>
      <c r="L20" s="27" t="e">
        <f t="shared" ca="1" si="4"/>
        <v>#NAME?</v>
      </c>
      <c r="M20" s="27" t="e">
        <f t="shared" ca="1" si="4"/>
        <v>#NAME?</v>
      </c>
      <c r="N20" s="27" t="e">
        <f t="shared" ca="1" si="4"/>
        <v>#NAME?</v>
      </c>
    </row>
    <row r="21" spans="1:14" ht="21.95" customHeight="1" x14ac:dyDescent="0.25">
      <c r="A21" s="53" t="s">
        <v>341</v>
      </c>
      <c r="B21" s="53"/>
      <c r="C21" s="27" t="e">
        <f t="shared" ref="C21:N21" ca="1" si="5">_xludf.VAR.S(C5:C16)</f>
        <v>#NAME?</v>
      </c>
      <c r="D21" s="27" t="e">
        <f t="shared" ca="1" si="5"/>
        <v>#NAME?</v>
      </c>
      <c r="E21" s="27" t="e">
        <f t="shared" ca="1" si="5"/>
        <v>#NAME?</v>
      </c>
      <c r="F21" s="27" t="e">
        <f t="shared" ca="1" si="5"/>
        <v>#NAME?</v>
      </c>
      <c r="G21" s="27" t="e">
        <f t="shared" ca="1" si="5"/>
        <v>#NAME?</v>
      </c>
      <c r="H21" s="27" t="e">
        <f t="shared" ca="1" si="5"/>
        <v>#NAME?</v>
      </c>
      <c r="I21" s="27" t="e">
        <f t="shared" ca="1" si="5"/>
        <v>#NAME?</v>
      </c>
      <c r="J21" s="27" t="e">
        <f t="shared" ca="1" si="5"/>
        <v>#NAME?</v>
      </c>
      <c r="K21" s="27" t="e">
        <f t="shared" ca="1" si="5"/>
        <v>#NAME?</v>
      </c>
      <c r="L21" s="27" t="e">
        <f t="shared" ca="1" si="5"/>
        <v>#NAME?</v>
      </c>
      <c r="M21" s="27" t="e">
        <f t="shared" ca="1" si="5"/>
        <v>#NAME?</v>
      </c>
      <c r="N21" s="27" t="e">
        <f t="shared" ca="1" si="5"/>
        <v>#NAME?</v>
      </c>
    </row>
    <row r="22" spans="1:14" ht="21.95" customHeight="1" x14ac:dyDescent="0.25">
      <c r="A22" s="54" t="s">
        <v>342</v>
      </c>
      <c r="B22" s="54"/>
      <c r="C22" s="28">
        <f t="shared" ref="C22:N22" si="6">COUNTIF(C5:C16, "&gt;=5") / COUNT(C5:C16)</f>
        <v>0.75</v>
      </c>
      <c r="D22" s="28">
        <f t="shared" si="6"/>
        <v>0.66666666666666663</v>
      </c>
      <c r="E22" s="28">
        <f t="shared" si="6"/>
        <v>0.5</v>
      </c>
      <c r="F22" s="28">
        <f t="shared" si="6"/>
        <v>0.41666666666666669</v>
      </c>
      <c r="G22" s="28">
        <f t="shared" si="6"/>
        <v>0.91666666666666663</v>
      </c>
      <c r="H22" s="28">
        <f t="shared" si="6"/>
        <v>0.91666666666666663</v>
      </c>
      <c r="I22" s="28">
        <f t="shared" si="6"/>
        <v>0.5</v>
      </c>
      <c r="J22" s="28">
        <f t="shared" si="6"/>
        <v>0.58333333333333337</v>
      </c>
      <c r="K22" s="28">
        <f t="shared" si="6"/>
        <v>1</v>
      </c>
      <c r="L22" s="28">
        <f t="shared" si="6"/>
        <v>0.58333333333333337</v>
      </c>
      <c r="M22" s="28">
        <f t="shared" si="6"/>
        <v>0.33333333333333331</v>
      </c>
      <c r="N22" s="28">
        <f t="shared" si="6"/>
        <v>0.5</v>
      </c>
    </row>
    <row r="23" spans="1:14" ht="21.95" customHeight="1" x14ac:dyDescent="0.25">
      <c r="A23" s="55" t="s">
        <v>343</v>
      </c>
      <c r="B23" s="55"/>
      <c r="C23" s="29">
        <f t="shared" ref="C23:N23" si="7">COUNTIF(C5:C16, "&lt;=3") / COUNT(C5:C16)</f>
        <v>8.3333333333333329E-2</v>
      </c>
      <c r="D23" s="29">
        <f t="shared" si="7"/>
        <v>8.3333333333333329E-2</v>
      </c>
      <c r="E23" s="29">
        <f t="shared" si="7"/>
        <v>0.16666666666666666</v>
      </c>
      <c r="F23" s="29">
        <f t="shared" si="7"/>
        <v>0.33333333333333331</v>
      </c>
      <c r="G23" s="29">
        <f t="shared" si="7"/>
        <v>0</v>
      </c>
      <c r="H23" s="29">
        <f t="shared" si="7"/>
        <v>0</v>
      </c>
      <c r="I23" s="29">
        <f t="shared" si="7"/>
        <v>0.25</v>
      </c>
      <c r="J23" s="29">
        <f t="shared" si="7"/>
        <v>8.3333333333333329E-2</v>
      </c>
      <c r="K23" s="29">
        <f t="shared" si="7"/>
        <v>0</v>
      </c>
      <c r="L23" s="29">
        <f t="shared" si="7"/>
        <v>0</v>
      </c>
      <c r="M23" s="29">
        <f t="shared" si="7"/>
        <v>0</v>
      </c>
      <c r="N23" s="29">
        <f t="shared" si="7"/>
        <v>0</v>
      </c>
    </row>
    <row r="24" spans="1:14" ht="21.95" customHeight="1" x14ac:dyDescent="0.25">
      <c r="A24" s="56" t="s">
        <v>344</v>
      </c>
      <c r="B24" s="56"/>
      <c r="C24" s="30">
        <f t="shared" ref="C24:N24" si="8">COUNTIF(C5:C16, 4) / COUNT(C5:C16)</f>
        <v>0.16666666666666666</v>
      </c>
      <c r="D24" s="30">
        <f t="shared" si="8"/>
        <v>0.25</v>
      </c>
      <c r="E24" s="30">
        <f t="shared" si="8"/>
        <v>0.33333333333333331</v>
      </c>
      <c r="F24" s="30">
        <f t="shared" si="8"/>
        <v>0.25</v>
      </c>
      <c r="G24" s="30">
        <f t="shared" si="8"/>
        <v>8.3333333333333329E-2</v>
      </c>
      <c r="H24" s="30">
        <f t="shared" si="8"/>
        <v>8.3333333333333329E-2</v>
      </c>
      <c r="I24" s="30">
        <f t="shared" si="8"/>
        <v>0.25</v>
      </c>
      <c r="J24" s="30">
        <f t="shared" si="8"/>
        <v>8.3333333333333329E-2</v>
      </c>
      <c r="K24" s="30">
        <f t="shared" si="8"/>
        <v>0</v>
      </c>
      <c r="L24" s="30">
        <f t="shared" si="8"/>
        <v>0</v>
      </c>
      <c r="M24" s="30">
        <f t="shared" si="8"/>
        <v>8.3333333333333329E-2</v>
      </c>
      <c r="N24" s="30">
        <f t="shared" si="8"/>
        <v>0</v>
      </c>
    </row>
    <row r="26" spans="1:14" ht="24" customHeight="1" x14ac:dyDescent="0.25">
      <c r="A26" s="57" t="s">
        <v>345</v>
      </c>
      <c r="B26" s="57"/>
      <c r="C26" s="57"/>
      <c r="D26" s="57"/>
      <c r="E26" s="57"/>
      <c r="F26" s="57"/>
      <c r="G26" s="57"/>
      <c r="H26" s="57"/>
      <c r="I26" s="57"/>
      <c r="J26" s="57"/>
      <c r="K26" s="57"/>
      <c r="L26" s="57"/>
      <c r="M26" s="57"/>
      <c r="N26" s="57"/>
    </row>
    <row r="27" spans="1:14" x14ac:dyDescent="0.25">
      <c r="A27" s="58" t="s">
        <v>346</v>
      </c>
      <c r="B27" s="58"/>
      <c r="C27" s="58"/>
      <c r="D27" s="31">
        <v>7</v>
      </c>
      <c r="E27" s="58" t="s">
        <v>347</v>
      </c>
      <c r="F27" s="58"/>
      <c r="G27" s="58"/>
      <c r="H27" s="32" t="e">
        <f ca="1">SUM(C21:I21)</f>
        <v>#NAME?</v>
      </c>
      <c r="I27" s="58" t="s">
        <v>348</v>
      </c>
      <c r="J27" s="58"/>
      <c r="K27" s="58"/>
      <c r="L27" s="32" t="e">
        <f ca="1">_xludf.VAR.S(K5:K16)</f>
        <v>#NAME?</v>
      </c>
      <c r="M27" s="33"/>
      <c r="N27" s="33"/>
    </row>
    <row r="28" spans="1:14" ht="15.75" x14ac:dyDescent="0.25">
      <c r="A28" s="59" t="s">
        <v>349</v>
      </c>
      <c r="B28" s="59"/>
      <c r="C28" s="59"/>
      <c r="D28" s="59"/>
      <c r="E28" s="60" t="e">
        <f ca="1">(D27/(D27-1))*(1 - H27/L27)</f>
        <v>#NAME?</v>
      </c>
      <c r="F28" s="60"/>
      <c r="G28" s="59" t="e">
        <f ca="1">IF(E28&gt;=0.9, "Excelente consistencia interna (α ≥ 0.90)", IF(E28&gt;=0.8, "Buena consistencia interna (0.80 ≤ α &lt; 0.90)", IF(E28&gt;=0.7, "Consistencia aceptable (0.70 ≤ α &lt; 0.80)", "Consistencia baja o cuestionable (&lt; 0.70)")))</f>
        <v>#NAME?</v>
      </c>
      <c r="H28" s="59"/>
      <c r="I28" s="59"/>
      <c r="J28" s="59"/>
      <c r="K28" s="59"/>
      <c r="L28" s="59"/>
      <c r="M28" s="59"/>
      <c r="N28" s="59"/>
    </row>
    <row r="30" spans="1:14" ht="24" customHeight="1" x14ac:dyDescent="0.25">
      <c r="A30" s="61" t="s">
        <v>350</v>
      </c>
      <c r="B30" s="61"/>
      <c r="C30" s="61"/>
      <c r="D30" s="61"/>
      <c r="E30" s="61"/>
      <c r="F30" s="61"/>
      <c r="G30" s="61"/>
      <c r="H30" s="61"/>
      <c r="I30" s="61"/>
      <c r="J30" s="61"/>
      <c r="K30" s="61"/>
      <c r="L30" s="61"/>
      <c r="M30" s="61"/>
      <c r="N30" s="61"/>
    </row>
    <row r="31" spans="1:14" ht="21.95" customHeight="1" x14ac:dyDescent="0.25">
      <c r="A31" s="34" t="s">
        <v>159</v>
      </c>
      <c r="B31" s="35" t="s">
        <v>351</v>
      </c>
      <c r="C31" s="35" t="s">
        <v>352</v>
      </c>
      <c r="D31" s="35" t="s">
        <v>353</v>
      </c>
      <c r="E31" s="35" t="s">
        <v>354</v>
      </c>
      <c r="F31" s="62" t="s">
        <v>355</v>
      </c>
      <c r="G31" s="62"/>
      <c r="H31" s="62"/>
      <c r="I31" s="62"/>
      <c r="J31" s="62"/>
      <c r="K31" s="62"/>
      <c r="L31" s="62"/>
      <c r="M31" s="62"/>
      <c r="N31" s="62"/>
    </row>
    <row r="32" spans="1:14" ht="20.100000000000001" customHeight="1" x14ac:dyDescent="0.25">
      <c r="A32" s="34" t="s">
        <v>351</v>
      </c>
      <c r="B32" s="36">
        <v>1</v>
      </c>
      <c r="C32" s="37">
        <f>CORREL(J5:J16, L5:L16)</f>
        <v>0.99491995336163752</v>
      </c>
      <c r="D32" s="37">
        <f>CORREL(J5:J16, M5:M16)</f>
        <v>0.99319210549182169</v>
      </c>
      <c r="E32" s="37">
        <f>CORREL(J5:J16, N5:N16)</f>
        <v>0.9776835655496019</v>
      </c>
      <c r="F32" s="63" t="s">
        <v>356</v>
      </c>
      <c r="G32" s="63"/>
      <c r="H32" s="63"/>
      <c r="I32" s="63"/>
      <c r="J32" s="63"/>
      <c r="K32" s="63"/>
      <c r="L32" s="63"/>
      <c r="M32" s="63"/>
      <c r="N32" s="63"/>
    </row>
    <row r="33" spans="1:14" ht="20.100000000000001" customHeight="1" x14ac:dyDescent="0.25">
      <c r="A33" s="34" t="s">
        <v>352</v>
      </c>
      <c r="B33" s="37">
        <f>CORREL(L5:L16, J5:J16)</f>
        <v>0.99491995336163752</v>
      </c>
      <c r="C33" s="36">
        <v>1</v>
      </c>
      <c r="D33" s="37">
        <f>CORREL(L5:L16, M5:M16)</f>
        <v>0.99743996547315628</v>
      </c>
      <c r="E33" s="37">
        <f>CORREL(L5:L16, N5:N16)</f>
        <v>0.96958673787744121</v>
      </c>
      <c r="F33" s="63" t="s">
        <v>357</v>
      </c>
      <c r="G33" s="63"/>
      <c r="H33" s="63"/>
      <c r="I33" s="63"/>
      <c r="J33" s="63"/>
      <c r="K33" s="63"/>
      <c r="L33" s="63"/>
      <c r="M33" s="63"/>
      <c r="N33" s="63"/>
    </row>
    <row r="34" spans="1:14" ht="20.100000000000001" customHeight="1" x14ac:dyDescent="0.25">
      <c r="A34" s="34" t="s">
        <v>353</v>
      </c>
      <c r="B34" s="37">
        <f>CORREL(M5:M16, J5:J16)</f>
        <v>0.99319210549182169</v>
      </c>
      <c r="C34" s="37">
        <f>CORREL(M5:M16, L5:L16)</f>
        <v>0.99743996547315628</v>
      </c>
      <c r="D34" s="36">
        <v>1</v>
      </c>
      <c r="E34" s="37">
        <f>CORREL(M5:M16, N5:N16)</f>
        <v>0.96329160869407549</v>
      </c>
      <c r="F34" s="63" t="s">
        <v>358</v>
      </c>
      <c r="G34" s="63"/>
      <c r="H34" s="63"/>
      <c r="I34" s="63"/>
      <c r="J34" s="63"/>
      <c r="K34" s="63"/>
      <c r="L34" s="63"/>
      <c r="M34" s="63"/>
      <c r="N34" s="63"/>
    </row>
    <row r="35" spans="1:14" ht="20.100000000000001" customHeight="1" x14ac:dyDescent="0.25">
      <c r="A35" s="34" t="s">
        <v>354</v>
      </c>
      <c r="B35" s="37">
        <f>CORREL(N5:N16, J5:J16)</f>
        <v>0.9776835655496019</v>
      </c>
      <c r="C35" s="37">
        <f>CORREL(N5:N16, L5:L16)</f>
        <v>0.96958673787744121</v>
      </c>
      <c r="D35" s="37">
        <f>CORREL(N5:N16, M5:M16)</f>
        <v>0.96329160869407549</v>
      </c>
      <c r="E35" s="36">
        <v>1</v>
      </c>
      <c r="F35" s="63" t="s">
        <v>359</v>
      </c>
      <c r="G35" s="63"/>
      <c r="H35" s="63"/>
      <c r="I35" s="63"/>
      <c r="J35" s="63"/>
      <c r="K35" s="63"/>
      <c r="L35" s="63"/>
      <c r="M35" s="63"/>
      <c r="N35" s="63"/>
    </row>
  </sheetData>
  <mergeCells count="22">
    <mergeCell ref="F35:N35"/>
    <mergeCell ref="A30:N30"/>
    <mergeCell ref="F31:N31"/>
    <mergeCell ref="F32:N32"/>
    <mergeCell ref="F33:N33"/>
    <mergeCell ref="F34:N34"/>
    <mergeCell ref="A27:C27"/>
    <mergeCell ref="E27:G27"/>
    <mergeCell ref="I27:K27"/>
    <mergeCell ref="A28:D28"/>
    <mergeCell ref="E28:F28"/>
    <mergeCell ref="G28:N28"/>
    <mergeCell ref="A21:B21"/>
    <mergeCell ref="A22:B22"/>
    <mergeCell ref="A23:B23"/>
    <mergeCell ref="A24:B24"/>
    <mergeCell ref="A26:N26"/>
    <mergeCell ref="A1:N1"/>
    <mergeCell ref="A2:N2"/>
    <mergeCell ref="A18:B18"/>
    <mergeCell ref="A19:B19"/>
    <mergeCell ref="A20:B20"/>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F2530"/>
  </sheetPr>
  <dimension ref="B2:E26"/>
  <sheetViews>
    <sheetView workbookViewId="0"/>
  </sheetViews>
  <sheetFormatPr defaultRowHeight="15" x14ac:dyDescent="0.25"/>
  <cols>
    <col min="1" max="1" width="5" customWidth="1"/>
    <col min="2" max="2" width="28" customWidth="1"/>
    <col min="3" max="3" width="24" customWidth="1"/>
    <col min="4" max="4" width="22" customWidth="1"/>
    <col min="5" max="5" width="45" customWidth="1"/>
  </cols>
  <sheetData>
    <row r="2" spans="2:5" ht="27.95" customHeight="1" x14ac:dyDescent="0.25">
      <c r="B2" s="50" t="s">
        <v>360</v>
      </c>
      <c r="C2" s="50"/>
      <c r="D2" s="50"/>
      <c r="E2" s="50"/>
    </row>
    <row r="3" spans="2:5" ht="18" customHeight="1" x14ac:dyDescent="0.25">
      <c r="B3" s="51" t="s">
        <v>361</v>
      </c>
      <c r="C3" s="51"/>
      <c r="D3" s="51"/>
      <c r="E3" s="51"/>
    </row>
    <row r="5" spans="2:5" ht="24" customHeight="1" x14ac:dyDescent="0.25">
      <c r="B5" s="64" t="s">
        <v>362</v>
      </c>
      <c r="C5" s="64"/>
      <c r="D5" s="64"/>
      <c r="E5" s="64"/>
    </row>
    <row r="6" spans="2:5" ht="21.95" customHeight="1" x14ac:dyDescent="0.25">
      <c r="B6" s="38" t="s">
        <v>363</v>
      </c>
      <c r="C6" s="38" t="s">
        <v>364</v>
      </c>
      <c r="D6" s="38" t="s">
        <v>365</v>
      </c>
      <c r="E6" s="38" t="s">
        <v>366</v>
      </c>
    </row>
    <row r="7" spans="2:5" ht="24" customHeight="1" x14ac:dyDescent="0.25">
      <c r="B7" s="39" t="s">
        <v>367</v>
      </c>
      <c r="C7" s="15" t="s">
        <v>368</v>
      </c>
      <c r="D7" s="15" t="s">
        <v>369</v>
      </c>
      <c r="E7" s="7" t="s">
        <v>370</v>
      </c>
    </row>
    <row r="8" spans="2:5" ht="24" customHeight="1" x14ac:dyDescent="0.25">
      <c r="B8" s="40" t="s">
        <v>371</v>
      </c>
      <c r="C8" s="17" t="s">
        <v>372</v>
      </c>
      <c r="D8" s="17" t="s">
        <v>373</v>
      </c>
      <c r="E8" s="11" t="s">
        <v>374</v>
      </c>
    </row>
    <row r="9" spans="2:5" ht="24" customHeight="1" x14ac:dyDescent="0.25">
      <c r="B9" s="39" t="s">
        <v>375</v>
      </c>
      <c r="C9" s="15" t="s">
        <v>376</v>
      </c>
      <c r="D9" s="15" t="s">
        <v>377</v>
      </c>
      <c r="E9" s="7" t="s">
        <v>378</v>
      </c>
    </row>
    <row r="12" spans="2:5" ht="24" customHeight="1" x14ac:dyDescent="0.25">
      <c r="B12" s="65" t="s">
        <v>379</v>
      </c>
      <c r="C12" s="65"/>
      <c r="D12" s="65"/>
      <c r="E12" s="65"/>
    </row>
    <row r="13" spans="2:5" ht="21.95" customHeight="1" x14ac:dyDescent="0.25">
      <c r="B13" s="38" t="s">
        <v>380</v>
      </c>
      <c r="C13" s="38" t="s">
        <v>381</v>
      </c>
      <c r="D13" s="38" t="s">
        <v>382</v>
      </c>
      <c r="E13" s="38" t="s">
        <v>383</v>
      </c>
    </row>
    <row r="14" spans="2:5" ht="24" customHeight="1" x14ac:dyDescent="0.25">
      <c r="B14" s="39" t="s">
        <v>384</v>
      </c>
      <c r="C14" s="15" t="s">
        <v>385</v>
      </c>
      <c r="D14" s="15" t="s">
        <v>386</v>
      </c>
      <c r="E14" s="7" t="s">
        <v>387</v>
      </c>
    </row>
    <row r="15" spans="2:5" ht="24" customHeight="1" x14ac:dyDescent="0.25">
      <c r="B15" s="40" t="s">
        <v>388</v>
      </c>
      <c r="C15" s="17" t="s">
        <v>389</v>
      </c>
      <c r="D15" s="17" t="s">
        <v>390</v>
      </c>
      <c r="E15" s="11" t="s">
        <v>391</v>
      </c>
    </row>
    <row r="16" spans="2:5" ht="24" customHeight="1" x14ac:dyDescent="0.25">
      <c r="B16" s="39" t="s">
        <v>392</v>
      </c>
      <c r="C16" s="15" t="s">
        <v>393</v>
      </c>
      <c r="D16" s="15" t="s">
        <v>394</v>
      </c>
      <c r="E16" s="7" t="s">
        <v>395</v>
      </c>
    </row>
    <row r="17" spans="2:5" ht="24" customHeight="1" x14ac:dyDescent="0.25">
      <c r="B17" s="40" t="s">
        <v>396</v>
      </c>
      <c r="C17" s="17" t="s">
        <v>397</v>
      </c>
      <c r="D17" s="17" t="s">
        <v>398</v>
      </c>
      <c r="E17" s="11" t="s">
        <v>399</v>
      </c>
    </row>
    <row r="18" spans="2:5" ht="24" customHeight="1" x14ac:dyDescent="0.25">
      <c r="B18" s="39" t="s">
        <v>400</v>
      </c>
      <c r="C18" s="15" t="s">
        <v>401</v>
      </c>
      <c r="D18" s="15" t="s">
        <v>402</v>
      </c>
      <c r="E18" s="7" t="s">
        <v>403</v>
      </c>
    </row>
    <row r="21" spans="2:5" ht="24" customHeight="1" x14ac:dyDescent="0.25">
      <c r="B21" s="66" t="s">
        <v>404</v>
      </c>
      <c r="C21" s="66"/>
      <c r="D21" s="66"/>
      <c r="E21" s="66"/>
    </row>
    <row r="22" spans="2:5" ht="21.95" customHeight="1" x14ac:dyDescent="0.25">
      <c r="B22" s="38" t="s">
        <v>405</v>
      </c>
      <c r="C22" s="38" t="s">
        <v>406</v>
      </c>
      <c r="D22" s="38" t="s">
        <v>407</v>
      </c>
      <c r="E22" s="38" t="s">
        <v>408</v>
      </c>
    </row>
    <row r="23" spans="2:5" ht="24" customHeight="1" x14ac:dyDescent="0.25">
      <c r="B23" s="39" t="s">
        <v>409</v>
      </c>
      <c r="C23" s="15" t="s">
        <v>410</v>
      </c>
      <c r="D23" s="15" t="s">
        <v>411</v>
      </c>
      <c r="E23" s="7" t="s">
        <v>412</v>
      </c>
    </row>
    <row r="24" spans="2:5" ht="24" customHeight="1" x14ac:dyDescent="0.25">
      <c r="B24" s="40" t="s">
        <v>413</v>
      </c>
      <c r="C24" s="17" t="s">
        <v>414</v>
      </c>
      <c r="D24" s="17" t="s">
        <v>415</v>
      </c>
      <c r="E24" s="11" t="s">
        <v>416</v>
      </c>
    </row>
    <row r="25" spans="2:5" ht="24" customHeight="1" x14ac:dyDescent="0.25">
      <c r="B25" s="39" t="s">
        <v>417</v>
      </c>
      <c r="C25" s="15" t="s">
        <v>418</v>
      </c>
      <c r="D25" s="15" t="s">
        <v>415</v>
      </c>
      <c r="E25" s="7" t="s">
        <v>419</v>
      </c>
    </row>
    <row r="26" spans="2:5" ht="24" customHeight="1" x14ac:dyDescent="0.25">
      <c r="B26" s="40" t="s">
        <v>420</v>
      </c>
      <c r="C26" s="17" t="s">
        <v>421</v>
      </c>
      <c r="D26" s="17" t="s">
        <v>415</v>
      </c>
      <c r="E26" s="11" t="s">
        <v>422</v>
      </c>
    </row>
  </sheetData>
  <mergeCells count="5">
    <mergeCell ref="B2:E2"/>
    <mergeCell ref="B3:E3"/>
    <mergeCell ref="B5:E5"/>
    <mergeCell ref="B12:E12"/>
    <mergeCell ref="B21:E2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Marco Metodológico</vt:lpstr>
      <vt:lpstr>2. Catálogo de Fórmulas</vt:lpstr>
      <vt:lpstr>3. Banco de Ítems (45)</vt:lpstr>
      <vt:lpstr>4. Simulador con Datos Vivos</vt:lpstr>
      <vt:lpstr>5. Baremos e Interpretación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2026-10-27T20:20:17Z</dcterms:created>
  <dcterms:modified xsi:type="dcterms:W3CDTF">2026-10-27T20:23:07Z</dcterms:modified>
  <cp:category/>
</cp:coreProperties>
</file>